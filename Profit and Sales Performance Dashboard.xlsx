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1.xml" ContentType="application/vnd.openxmlformats-officedocument.spreadsheetml.pivotTable+xml"/>
  <Override PartName="/xl/drawings/drawing1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2.xml" ContentType="application/vnd.openxmlformats-officedocument.spreadsheetml.pivotTable+xml"/>
  <Override PartName="/xl/drawings/drawing1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hidePivotFieldList="1"/>
  <mc:AlternateContent xmlns:mc="http://schemas.openxmlformats.org/markup-compatibility/2006">
    <mc:Choice Requires="x15">
      <x15ac:absPath xmlns:x15ac="http://schemas.microsoft.com/office/spreadsheetml/2010/11/ac" url="C:\Users\lenovo\Documents\DATA PRIBADI\PROJECT\Project Done\"/>
    </mc:Choice>
  </mc:AlternateContent>
  <xr:revisionPtr revIDLastSave="0" documentId="13_ncr:1_{DC730068-7B6E-4D38-96E3-D32A93CE7A96}" xr6:coauthVersionLast="45" xr6:coauthVersionMax="46" xr10:uidLastSave="{00000000-0000-0000-0000-000000000000}"/>
  <bookViews>
    <workbookView xWindow="20" yWindow="20" windowWidth="19180" windowHeight="10180" firstSheet="2" activeTab="2" xr2:uid="{00000000-000D-0000-FFFF-FFFF00000000}"/>
  </bookViews>
  <sheets>
    <sheet name="KPI (DONE)" sheetId="13" state="hidden" r:id="rId1"/>
    <sheet name="DASHBOARD" sheetId="20" state="hidden" r:id="rId2"/>
    <sheet name="DASHBOARD." sheetId="26" r:id="rId3"/>
    <sheet name="DATASET" sheetId="7" r:id="rId4"/>
    <sheet name="RAW DATA" sheetId="6" r:id="rId5"/>
    <sheet name="Sales Over Time (DONE)" sheetId="8" state="hidden" r:id="rId6"/>
    <sheet name="Profit by Segment (DONE)" sheetId="10" state="hidden" r:id="rId7"/>
    <sheet name="Unit Sold by Product (DONE)" sheetId="15" state="hidden" r:id="rId8"/>
    <sheet name="Profit by Country (DONE)" sheetId="11" state="hidden" r:id="rId9"/>
    <sheet name="Profit vs COGS (DONE)" sheetId="18" state="hidden" r:id="rId10"/>
    <sheet name="Profit vs COGS vs Sales (DONE)" sheetId="19" state="hidden" r:id="rId11"/>
    <sheet name="Discount &amp; Profit (Done)" sheetId="17" state="hidden" r:id="rId12"/>
    <sheet name="Discount Impact on Profit(DONE)" sheetId="22" state="hidden" r:id="rId13"/>
    <sheet name="Discount Impact on Sales(DONE)" sheetId="23" state="hidden" r:id="rId14"/>
    <sheet name="Profit by Product" sheetId="24" state="hidden" r:id="rId15"/>
    <sheet name="Sales by Product" sheetId="25" state="hidden" r:id="rId16"/>
    <sheet name="INSIGHTS" sheetId="21" state="hidden" r:id="rId17"/>
  </sheets>
  <externalReferences>
    <externalReference r:id="rId18"/>
  </externalReferences>
  <definedNames>
    <definedName name="_xlnm._FilterDatabase" localSheetId="4" hidden="1">'RAW DATA'!$A$1:$P$6</definedName>
    <definedName name="Slicer_Month_Name3">#N/A</definedName>
  </definedNames>
  <calcPr calcId="191029"/>
  <pivotCaches>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2" i="7" l="1"/>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8" i="7" l="1"/>
</calcChain>
</file>

<file path=xl/sharedStrings.xml><?xml version="1.0" encoding="utf-8"?>
<sst xmlns="http://schemas.openxmlformats.org/spreadsheetml/2006/main" count="8604" uniqueCount="93">
  <si>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</si>
  <si>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</si>
  <si>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</si>
  <si>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</si>
  <si>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</si>
  <si>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</si>
  <si>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</si>
  <si>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</si>
  <si>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</si>
  <si>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</si>
  <si>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</si>
  <si>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</si>
  <si>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</si>
  <si>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</si>
  <si>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</si>
  <si>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</si>
  <si>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</si>
  <si>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</si>
  <si>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</si>
  <si>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</si>
  <si>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</si>
  <si>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</si>
  <si>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</si>
  <si>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</si>
  <si>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</si>
  <si>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</si>
  <si>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</si>
  <si>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</si>
  <si>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</si>
  <si>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</si>
  <si>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</si>
  <si>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</si>
  <si>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</si>
  <si>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</si>
  <si>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</si>
  <si>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</si>
  <si>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</si>
  <si>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</si>
  <si>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</si>
  <si>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</si>
  <si>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</si>
  <si>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</si>
  <si>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</si>
  <si>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</si>
  <si>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</si>
  <si>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</si>
  <si>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</si>
  <si>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</si>
  <si>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</si>
  <si>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</si>
  <si>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CANADA</t>
  </si>
  <si>
    <t>FRANCE</t>
  </si>
  <si>
    <t>GERMANY</t>
  </si>
  <si>
    <t>MEXICO</t>
  </si>
  <si>
    <t>germany</t>
  </si>
  <si>
    <t xml:space="preserve">   germany   </t>
  </si>
  <si>
    <t xml:space="preserve">                  Mexico</t>
  </si>
  <si>
    <t xml:space="preserve">  Canada</t>
  </si>
  <si>
    <t xml:space="preserve">    France</t>
  </si>
  <si>
    <t xml:space="preserve">   Canada</t>
  </si>
  <si>
    <t xml:space="preserve"> mexico</t>
  </si>
  <si>
    <t>United States 
of America</t>
  </si>
  <si>
    <t>3</t>
  </si>
  <si>
    <t>Midmarkets</t>
  </si>
  <si>
    <t>Sales</t>
  </si>
  <si>
    <t>Sum of Sales</t>
  </si>
  <si>
    <t>Row Labels</t>
  </si>
  <si>
    <t>Grand Total</t>
  </si>
  <si>
    <t>Sep</t>
  </si>
  <si>
    <t>Oct</t>
  </si>
  <si>
    <t>Nov</t>
  </si>
  <si>
    <t>Dec</t>
  </si>
  <si>
    <t>Jan</t>
  </si>
  <si>
    <t>Feb</t>
  </si>
  <si>
    <t>Mar</t>
  </si>
  <si>
    <t>Apr</t>
  </si>
  <si>
    <t>Jun</t>
  </si>
  <si>
    <t>Jul</t>
  </si>
  <si>
    <t>Aug</t>
  </si>
  <si>
    <t>Years</t>
  </si>
  <si>
    <t>Sum of Profit</t>
  </si>
  <si>
    <t>Sum of Units Sold</t>
  </si>
  <si>
    <t>Discount Percentage</t>
  </si>
  <si>
    <t>Average of Discount Percentage</t>
  </si>
  <si>
    <t>Sum of COGS</t>
  </si>
  <si>
    <t>Kenaikan profit  berbanding lurus dengan kenaikan sales</t>
  </si>
  <si>
    <t xml:space="preserve">Sales  </t>
  </si>
  <si>
    <t xml:space="preserve">COGS  </t>
  </si>
  <si>
    <t xml:space="preserve">Profit  </t>
  </si>
  <si>
    <t xml:space="preserve">Discounts </t>
  </si>
  <si>
    <t>Profit by Product</t>
  </si>
  <si>
    <t>Sales by Product</t>
  </si>
  <si>
    <t>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</si>
</sst>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m/d/yy\ h:mm;@"/>
    <numFmt numFmtId="165" formatCode="_(* #,##0_);_(* \(#,##0\);_(* &quot;-&quot;??_);_(@_)"/>
    <numFmt numFmtId="166" formatCode="dd\-mmm\-yyyy"/>
    <numFmt numFmtId="167" formatCode="_([$$-409]* #,##0_);_([$$-409]* \(#,##0\);_([$$-409]* &quot;-&quot;??_);_(@_)"/>
    <numFmt numFmtId="168" formatCode="_(&quot;$&quot;* #,##0_);_(&quot;$&quot;* \(#,##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1" fontId="0" fillId="0" borderId="0" xfId="1" applyNumberFormat="1" applyFont="1"/>
    <xf numFmtId="0" fontId="0" fillId="0" borderId="0" xfId="0" applyAlignment="1">
      <alignment wrapText="1"/>
    </xf>
    <xf numFmtId="0" fontId="0" fillId="0" borderId="0" xfId="0" quotePrefix="1"/>
    <xf numFmtId="49" fontId="0" fillId="0" borderId="0" xfId="0" quotePrefix="1" applyNumberFormat="1"/>
    <xf numFmtId="165" fontId="0" fillId="0" borderId="0" xfId="2" applyNumberFormat="1" applyFont="1"/>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9" fontId="0" fillId="0" borderId="0" xfId="3" applyFont="1"/>
    <xf numFmtId="9" fontId="0" fillId="0" borderId="0" xfId="0" applyNumberFormat="1"/>
    <xf numFmtId="167" fontId="0" fillId="0" borderId="0" xfId="0" applyNumberFormat="1"/>
    <xf numFmtId="168" fontId="0" fillId="0" borderId="0" xfId="0" applyNumberFormat="1"/>
    <xf numFmtId="165" fontId="0" fillId="0" borderId="0" xfId="0" pivotButton="1" applyNumberFormat="1"/>
    <xf numFmtId="165" fontId="0" fillId="0" borderId="0" xfId="0" applyNumberFormat="1" applyAlignment="1">
      <alignment horizontal="left"/>
    </xf>
  </cellXfs>
  <cellStyles count="4">
    <cellStyle name="Comma" xfId="2" builtinId="3"/>
    <cellStyle name="Currency" xfId="1" builtinId="4"/>
    <cellStyle name="Normal" xfId="0" builtinId="0"/>
    <cellStyle name="Percent" xfId="3" builtinId="5"/>
  </cellStyles>
  <dxfs count="26">
    <dxf>
      <numFmt numFmtId="167" formatCode="_([$$-409]* #,##0_);_([$$-409]* \(#,##0\);_([$$-409]*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8" formatCode="_(&quot;$&quot;* #,##0_);_(&quot;$&quot;* \(#,##0\);_(&quot;$&quot;* &quot;-&quot;??_);_(@_)"/>
    </dxf>
    <dxf>
      <numFmt numFmtId="168" formatCode="_(&quot;$&quot;* #,##0_);_(&quot;$&quot;* \(#,##0\);_(&quot;$&quot;* &quot;-&quot;??_);_(@_)"/>
    </dxf>
    <dxf>
      <numFmt numFmtId="165" formatCode="_(* #,##0_);_(* \(#,##0\);_(* &quot;-&quot;??_);_(@_)"/>
    </dxf>
    <dxf>
      <numFmt numFmtId="165" formatCode="_(* #,##0_);_(* \(#,##0\);_(* &quot;-&quot;??_);_(@_)"/>
    </dxf>
    <dxf>
      <numFmt numFmtId="168" formatCode="_(&quot;$&quot;* #,##0_);_(&quot;$&quot;* \(#,##0\);_(&quot;$&quot;* &quot;-&quot;??_);_(@_)"/>
    </dxf>
    <dxf>
      <numFmt numFmtId="165" formatCode="_(* #,##0_);_(* \(#,##0\);_(* &quot;-&quot;??_);_(@_)"/>
    </dxf>
    <dxf>
      <numFmt numFmtId="167" formatCode="_([$$-409]* #,##0_);_([$$-409]* \(#,##0\);_([$$-409]* &quot;-&quot;??_);_(@_)"/>
    </dxf>
    <dxf>
      <numFmt numFmtId="167" formatCode="_([$$-409]* #,##0_);_([$$-409]* \(#,##0\);_([$$-409]* &quot;-&quot;??_);_(@_)"/>
    </dxf>
    <dxf>
      <numFmt numFmtId="166" formatCode="dd\-mmm\-yyyy"/>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s>
  <tableStyles count="0" defaultTableStyle="TableStyleMedium2" defaultPivotStyle="PivotStyleLight16"/>
  <colors>
    <mruColors>
      <color rgb="FF2F1943"/>
      <color rgb="FFF9F6FC"/>
      <color rgb="FFF3EDF9"/>
      <color rgb="FF492769"/>
      <color rgb="FFE600E6"/>
      <color rgb="FFFF99FF"/>
      <color rgb="FFEAE0F4"/>
      <color rgb="FFA378CE"/>
      <color rgb="FF9766C8"/>
      <color rgb="FFB897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Project.xlsx]Sales Over Time (DONE)!SalesOverTime</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400" b="1">
                <a:solidFill>
                  <a:srgbClr val="2D1E64"/>
                </a:solidFill>
              </a:rPr>
              <a:t>Monthly Sales &amp; Profit Trend</a:t>
            </a:r>
          </a:p>
        </c:rich>
      </c:tx>
      <c:layout>
        <c:manualLayout>
          <c:xMode val="edge"/>
          <c:yMode val="edge"/>
          <c:x val="6.2874787710359738E-3"/>
          <c:y val="2.699662542182227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66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 (DONE)'!$C$3</c:f>
              <c:strCache>
                <c:ptCount val="1"/>
                <c:pt idx="0">
                  <c:v>Sum of Sales</c:v>
                </c:pt>
              </c:strCache>
            </c:strRef>
          </c:tx>
          <c:spPr>
            <a:ln w="28575" cap="rnd">
              <a:solidFill>
                <a:srgbClr val="69389A"/>
              </a:solidFill>
              <a:round/>
            </a:ln>
            <a:effectLst/>
          </c:spPr>
          <c:marker>
            <c:symbol val="none"/>
          </c:marker>
          <c:cat>
            <c:multiLvlStrRef>
              <c:f>'Sales Over Time (DONE)'!$A$4:$B$20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'Sales Over Time (DONE)'!$C$4:$C$20</c:f>
              <c:numCache>
                <c:formatCode>_([$$-409]* #,##0_);_([$$-409]* \(#,##0\);_([$$-409]* "-"??_);_(@_)</c:formatCode>
                <c:ptCount val="16"/>
                <c:pt idx="0">
                  <c:v>5225906.0300000012</c:v>
                </c:pt>
                <c:pt idx="1">
                  <c:v>9295611.0999999959</c:v>
                </c:pt>
                <c:pt idx="2">
                  <c:v>7267203.2999999998</c:v>
                </c:pt>
                <c:pt idx="3">
                  <c:v>5368441.08</c:v>
                </c:pt>
                <c:pt idx="4">
                  <c:v>6607761.6800000006</c:v>
                </c:pt>
                <c:pt idx="5">
                  <c:v>7297531.3900000006</c:v>
                </c:pt>
                <c:pt idx="6">
                  <c:v>6006124.8699999992</c:v>
                </c:pt>
                <c:pt idx="7">
                  <c:v>6988211.0700000003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12008012.900000002</c:v>
                </c:pt>
              </c:numCache>
            </c:numRef>
          </c:val>
          <c:smooth val="0"/>
          <c:extLst>
            <c:ext xmlns:c16="http://schemas.microsoft.com/office/drawing/2014/chart" uri="{C3380CC4-5D6E-409C-BE32-E72D297353CC}">
              <c16:uniqueId val="{00000000-9F23-496C-8E42-93DC977935FE}"/>
            </c:ext>
          </c:extLst>
        </c:ser>
        <c:ser>
          <c:idx val="1"/>
          <c:order val="1"/>
          <c:tx>
            <c:strRef>
              <c:f>'Sales Over Time (DONE)'!$D$3</c:f>
              <c:strCache>
                <c:ptCount val="1"/>
                <c:pt idx="0">
                  <c:v>Sum of Profit</c:v>
                </c:pt>
              </c:strCache>
            </c:strRef>
          </c:tx>
          <c:spPr>
            <a:ln w="28575" cap="rnd">
              <a:solidFill>
                <a:srgbClr val="660066"/>
              </a:solidFill>
              <a:round/>
            </a:ln>
            <a:effectLst/>
          </c:spPr>
          <c:marker>
            <c:symbol val="none"/>
          </c:marker>
          <c:cat>
            <c:multiLvlStrRef>
              <c:f>'Sales Over Time (DONE)'!$A$4:$B$20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'Sales Over Time (DONE)'!$D$4:$D$20</c:f>
              <c:numCache>
                <c:formatCode>_([$$-409]* #,##0_);_([$$-409]* \(#,##0\);_([$$-409]* "-"??_);_(@_)</c:formatCode>
                <c:ptCount val="16"/>
                <c:pt idx="0">
                  <c:v>881009.03000000014</c:v>
                </c:pt>
                <c:pt idx="1">
                  <c:v>1657795.0999999999</c:v>
                </c:pt>
                <c:pt idx="2">
                  <c:v>765502.3</c:v>
                </c:pt>
                <c:pt idx="3">
                  <c:v>691564.08000000007</c:v>
                </c:pt>
                <c:pt idx="4">
                  <c:v>814028.67999999993</c:v>
                </c:pt>
                <c:pt idx="5">
                  <c:v>1148547.3899999999</c:v>
                </c:pt>
                <c:pt idx="6">
                  <c:v>774531.87000000011</c:v>
                </c:pt>
                <c:pt idx="7">
                  <c:v>947561.57</c:v>
                </c:pt>
                <c:pt idx="8">
                  <c:v>828640.06</c:v>
                </c:pt>
                <c:pt idx="9">
                  <c:v>1473753.8200000003</c:v>
                </c:pt>
                <c:pt idx="10">
                  <c:v>923865.67999999982</c:v>
                </c:pt>
                <c:pt idx="11">
                  <c:v>791066.41999999993</c:v>
                </c:pt>
                <c:pt idx="12">
                  <c:v>1023132.24</c:v>
                </c:pt>
                <c:pt idx="13">
                  <c:v>1781985.9200000004</c:v>
                </c:pt>
                <c:pt idx="14">
                  <c:v>604600.19999999995</c:v>
                </c:pt>
                <c:pt idx="15">
                  <c:v>2028840.9000000008</c:v>
                </c:pt>
              </c:numCache>
            </c:numRef>
          </c:val>
          <c:smooth val="0"/>
          <c:extLst>
            <c:ext xmlns:c16="http://schemas.microsoft.com/office/drawing/2014/chart" uri="{C3380CC4-5D6E-409C-BE32-E72D297353CC}">
              <c16:uniqueId val="{00000001-9F23-496C-8E42-93DC977935FE}"/>
            </c:ext>
          </c:extLst>
        </c:ser>
        <c:dLbls>
          <c:showLegendKey val="0"/>
          <c:showVal val="0"/>
          <c:showCatName val="0"/>
          <c:showSerName val="0"/>
          <c:showPercent val="0"/>
          <c:showBubbleSize val="0"/>
        </c:dLbls>
        <c:smooth val="0"/>
        <c:axId val="1219708880"/>
        <c:axId val="999607488"/>
      </c:lineChart>
      <c:catAx>
        <c:axId val="1219708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2D1E64"/>
                </a:solidFill>
                <a:latin typeface="+mn-lt"/>
                <a:ea typeface="+mn-ea"/>
                <a:cs typeface="+mn-cs"/>
              </a:defRPr>
            </a:pPr>
            <a:endParaRPr lang="en-US"/>
          </a:p>
        </c:txPr>
        <c:crossAx val="999607488"/>
        <c:crosses val="autoZero"/>
        <c:auto val="1"/>
        <c:lblAlgn val="ctr"/>
        <c:lblOffset val="100"/>
        <c:noMultiLvlLbl val="0"/>
      </c:catAx>
      <c:valAx>
        <c:axId val="999607488"/>
        <c:scaling>
          <c:orientation val="minMax"/>
        </c:scaling>
        <c:delete val="0"/>
        <c:axPos val="l"/>
        <c:majorGridlines>
          <c:spPr>
            <a:ln w="9525" cap="flat" cmpd="sng" algn="ctr">
              <a:solidFill>
                <a:srgbClr val="E6DAF2"/>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D1E64"/>
                </a:solidFill>
                <a:latin typeface="+mn-lt"/>
                <a:ea typeface="+mn-ea"/>
                <a:cs typeface="+mn-cs"/>
              </a:defRPr>
            </a:pPr>
            <a:endParaRPr lang="en-US"/>
          </a:p>
        </c:txPr>
        <c:crossAx val="1219708880"/>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Segment (DONE)!Sales by Segment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solidFill>
                  <a:srgbClr val="2D1E64"/>
                </a:solidFill>
              </a:rPr>
              <a:t>Profit by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9389A"/>
          </a:solidFill>
          <a:ln>
            <a:noFill/>
          </a:ln>
          <a:effectLst/>
        </c:spPr>
        <c:marker>
          <c:symbol val="none"/>
        </c:marker>
      </c:pivotFmt>
      <c:pivotFmt>
        <c:idx val="1"/>
        <c:spPr>
          <a:solidFill>
            <a:srgbClr val="8851BF"/>
          </a:solidFill>
          <a:ln>
            <a:noFill/>
          </a:ln>
          <a:effectLst/>
        </c:spPr>
      </c:pivotFmt>
      <c:pivotFmt>
        <c:idx val="2"/>
        <c:spPr>
          <a:solidFill>
            <a:srgbClr val="A57BCF"/>
          </a:solidFill>
          <a:ln>
            <a:noFill/>
          </a:ln>
          <a:effectLst/>
        </c:spPr>
      </c:pivotFmt>
      <c:pivotFmt>
        <c:idx val="3"/>
        <c:spPr>
          <a:solidFill>
            <a:srgbClr val="BA9ADA"/>
          </a:solidFill>
          <a:ln>
            <a:noFill/>
          </a:ln>
          <a:effectLst/>
        </c:spPr>
      </c:pivotFmt>
      <c:pivotFmt>
        <c:idx val="4"/>
        <c:spPr>
          <a:solidFill>
            <a:srgbClr val="E8DDF3"/>
          </a:solidFill>
          <a:ln>
            <a:noFill/>
          </a:ln>
          <a:effectLst/>
        </c:spPr>
      </c:pivotFmt>
      <c:pivotFmt>
        <c:idx val="5"/>
        <c:spPr>
          <a:solidFill>
            <a:srgbClr val="69389A"/>
          </a:solidFill>
          <a:ln>
            <a:noFill/>
          </a:ln>
          <a:effectLst/>
        </c:spPr>
      </c:pivotFmt>
      <c:pivotFmt>
        <c:idx val="6"/>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DDF3"/>
          </a:solidFill>
          <a:ln>
            <a:noFill/>
          </a:ln>
          <a:effectLst/>
        </c:spPr>
      </c:pivotFmt>
      <c:pivotFmt>
        <c:idx val="8"/>
        <c:spPr>
          <a:solidFill>
            <a:srgbClr val="BA9ADA"/>
          </a:solidFill>
          <a:ln>
            <a:noFill/>
          </a:ln>
          <a:effectLst/>
        </c:spPr>
      </c:pivotFmt>
      <c:pivotFmt>
        <c:idx val="9"/>
        <c:spPr>
          <a:solidFill>
            <a:srgbClr val="A57BCF"/>
          </a:solidFill>
          <a:ln>
            <a:noFill/>
          </a:ln>
          <a:effectLst/>
        </c:spPr>
      </c:pivotFmt>
      <c:pivotFmt>
        <c:idx val="10"/>
        <c:spPr>
          <a:solidFill>
            <a:srgbClr val="8851BF"/>
          </a:solidFill>
          <a:ln>
            <a:noFill/>
          </a:ln>
          <a:effectLst/>
        </c:spPr>
      </c:pivotFmt>
      <c:pivotFmt>
        <c:idx val="11"/>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F8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8DDF3"/>
          </a:solidFill>
          <a:ln>
            <a:noFill/>
          </a:ln>
          <a:effectLst/>
        </c:spPr>
      </c:pivotFmt>
      <c:pivotFmt>
        <c:idx val="13"/>
        <c:spPr>
          <a:solidFill>
            <a:srgbClr val="BA9ADA"/>
          </a:solidFill>
          <a:ln>
            <a:noFill/>
          </a:ln>
          <a:effectLst/>
        </c:spPr>
      </c:pivotFmt>
      <c:pivotFmt>
        <c:idx val="14"/>
        <c:spPr>
          <a:solidFill>
            <a:srgbClr val="A57BCF"/>
          </a:solidFill>
          <a:ln>
            <a:noFill/>
          </a:ln>
          <a:effectLst/>
        </c:spPr>
      </c:pivotFmt>
      <c:pivotFmt>
        <c:idx val="15"/>
        <c:spPr>
          <a:solidFill>
            <a:srgbClr val="8851BF"/>
          </a:solidFill>
          <a:ln>
            <a:noFill/>
          </a:ln>
          <a:effectLst/>
        </c:spPr>
      </c:pivotFmt>
      <c:pivotFmt>
        <c:idx val="1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layout>
            <c:manualLayout>
              <c:x val="2.1941454468115667E-3"/>
              <c:y val="0.12574343034544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B1F57"/>
          </a:solidFill>
          <a:ln>
            <a:noFill/>
          </a:ln>
          <a:effectLst/>
        </c:spPr>
      </c:pivotFmt>
      <c:pivotFmt>
        <c:idx val="19"/>
        <c:spPr>
          <a:solidFill>
            <a:srgbClr val="643593"/>
          </a:solidFill>
          <a:ln>
            <a:noFill/>
          </a:ln>
          <a:effectLst/>
        </c:spPr>
      </c:pivotFmt>
      <c:pivotFmt>
        <c:idx val="20"/>
        <c:spPr>
          <a:solidFill>
            <a:srgbClr val="9F72CC"/>
          </a:solidFill>
          <a:ln>
            <a:noFill/>
          </a:ln>
          <a:effectLst/>
        </c:spPr>
      </c:pivotFmt>
      <c:pivotFmt>
        <c:idx val="21"/>
        <c:spPr>
          <a:solidFill>
            <a:srgbClr val="B897D9"/>
          </a:solidFill>
          <a:ln>
            <a:noFill/>
          </a:ln>
          <a:effectLst/>
        </c:spPr>
      </c:pivotFmt>
    </c:pivotFmts>
    <c:plotArea>
      <c:layout/>
      <c:barChart>
        <c:barDir val="col"/>
        <c:grouping val="clustered"/>
        <c:varyColors val="0"/>
        <c:ser>
          <c:idx val="0"/>
          <c:order val="0"/>
          <c:tx>
            <c:strRef>
              <c:f>'Profit by Segment (DONE)'!$B$3</c:f>
              <c:strCache>
                <c:ptCount val="1"/>
                <c:pt idx="0">
                  <c:v>Total</c:v>
                </c:pt>
              </c:strCache>
            </c:strRef>
          </c:tx>
          <c:spPr>
            <a:solidFill>
              <a:srgbClr val="C00000"/>
            </a:solidFill>
            <a:ln>
              <a:noFill/>
            </a:ln>
            <a:effectLst/>
          </c:spPr>
          <c:invertIfNegative val="0"/>
          <c:dPt>
            <c:idx val="0"/>
            <c:invertIfNegative val="0"/>
            <c:bubble3D val="0"/>
            <c:spPr>
              <a:solidFill>
                <a:srgbClr val="3B1F57"/>
              </a:solidFill>
              <a:ln>
                <a:noFill/>
              </a:ln>
              <a:effectLst/>
            </c:spPr>
            <c:extLst>
              <c:ext xmlns:c16="http://schemas.microsoft.com/office/drawing/2014/chart" uri="{C3380CC4-5D6E-409C-BE32-E72D297353CC}">
                <c16:uniqueId val="{00000001-F6B6-4462-B00B-5BDC253A5A79}"/>
              </c:ext>
            </c:extLst>
          </c:dPt>
          <c:dPt>
            <c:idx val="1"/>
            <c:invertIfNegative val="0"/>
            <c:bubble3D val="0"/>
            <c:spPr>
              <a:solidFill>
                <a:srgbClr val="643593"/>
              </a:solidFill>
              <a:ln>
                <a:noFill/>
              </a:ln>
              <a:effectLst/>
            </c:spPr>
            <c:extLst>
              <c:ext xmlns:c16="http://schemas.microsoft.com/office/drawing/2014/chart" uri="{C3380CC4-5D6E-409C-BE32-E72D297353CC}">
                <c16:uniqueId val="{00000003-F6B6-4462-B00B-5BDC253A5A79}"/>
              </c:ext>
            </c:extLst>
          </c:dPt>
          <c:dPt>
            <c:idx val="2"/>
            <c:invertIfNegative val="0"/>
            <c:bubble3D val="0"/>
            <c:spPr>
              <a:solidFill>
                <a:srgbClr val="9F72CC"/>
              </a:solidFill>
              <a:ln>
                <a:noFill/>
              </a:ln>
              <a:effectLst/>
            </c:spPr>
            <c:extLst>
              <c:ext xmlns:c16="http://schemas.microsoft.com/office/drawing/2014/chart" uri="{C3380CC4-5D6E-409C-BE32-E72D297353CC}">
                <c16:uniqueId val="{00000005-F6B6-4462-B00B-5BDC253A5A79}"/>
              </c:ext>
            </c:extLst>
          </c:dPt>
          <c:dPt>
            <c:idx val="3"/>
            <c:invertIfNegative val="0"/>
            <c:bubble3D val="0"/>
            <c:spPr>
              <a:solidFill>
                <a:srgbClr val="B897D9"/>
              </a:solidFill>
              <a:ln>
                <a:noFill/>
              </a:ln>
              <a:effectLst/>
            </c:spPr>
            <c:extLst>
              <c:ext xmlns:c16="http://schemas.microsoft.com/office/drawing/2014/chart" uri="{C3380CC4-5D6E-409C-BE32-E72D297353CC}">
                <c16:uniqueId val="{00000007-F6B6-4462-B00B-5BDC253A5A79}"/>
              </c:ext>
            </c:extLst>
          </c:dPt>
          <c:dPt>
            <c:idx val="4"/>
            <c:invertIfNegative val="0"/>
            <c:bubble3D val="0"/>
            <c:spPr>
              <a:solidFill>
                <a:srgbClr val="C00000"/>
              </a:solidFill>
              <a:ln>
                <a:noFill/>
              </a:ln>
              <a:effectLst/>
            </c:spPr>
            <c:extLst>
              <c:ext xmlns:c16="http://schemas.microsoft.com/office/drawing/2014/chart" uri="{C3380CC4-5D6E-409C-BE32-E72D297353CC}">
                <c16:uniqueId val="{0000000C-F6B6-4462-B00B-5BDC253A5A79}"/>
              </c:ext>
            </c:extLst>
          </c:dPt>
          <c:dLbls>
            <c:dLbl>
              <c:idx val="4"/>
              <c:layout>
                <c:manualLayout>
                  <c:x val="2.1941454468115667E-3"/>
                  <c:y val="0.1257434303454496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B6-4462-B00B-5BDC253A5A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Segment (DONE)'!$A$4:$A$9</c:f>
              <c:strCache>
                <c:ptCount val="5"/>
                <c:pt idx="0">
                  <c:v>Government</c:v>
                </c:pt>
                <c:pt idx="1">
                  <c:v>Small Business</c:v>
                </c:pt>
                <c:pt idx="2">
                  <c:v>Channel Partners</c:v>
                </c:pt>
                <c:pt idx="3">
                  <c:v>Midmarket</c:v>
                </c:pt>
                <c:pt idx="4">
                  <c:v>Enterprise</c:v>
                </c:pt>
              </c:strCache>
            </c:strRef>
          </c:cat>
          <c:val>
            <c:numRef>
              <c:f>'Profit by Segment (DONE)'!$B$4:$B$9</c:f>
              <c:numCache>
                <c:formatCode>_([$$-409]* #,##0_);_([$$-409]* \(#,##0\);_([$$-409]* "-"??_);_(@_)</c:formatCode>
                <c:ptCount val="5"/>
                <c:pt idx="0">
                  <c:v>11492838.169999985</c:v>
                </c:pt>
                <c:pt idx="1">
                  <c:v>4260574.5</c:v>
                </c:pt>
                <c:pt idx="2">
                  <c:v>1334380.1399999999</c:v>
                </c:pt>
                <c:pt idx="3">
                  <c:v>663178.07499999995</c:v>
                </c:pt>
                <c:pt idx="4">
                  <c:v>-614545.625</c:v>
                </c:pt>
              </c:numCache>
            </c:numRef>
          </c:val>
          <c:extLst>
            <c:ext xmlns:c16="http://schemas.microsoft.com/office/drawing/2014/chart" uri="{C3380CC4-5D6E-409C-BE32-E72D297353CC}">
              <c16:uniqueId val="{00000008-F6B6-4462-B00B-5BDC253A5A79}"/>
            </c:ext>
          </c:extLst>
        </c:ser>
        <c:dLbls>
          <c:dLblPos val="inEnd"/>
          <c:showLegendKey val="0"/>
          <c:showVal val="1"/>
          <c:showCatName val="0"/>
          <c:showSerName val="0"/>
          <c:showPercent val="0"/>
          <c:showBubbleSize val="0"/>
        </c:dLbls>
        <c:gapWidth val="150"/>
        <c:axId val="2092685184"/>
        <c:axId val="2095871904"/>
      </c:barChart>
      <c:catAx>
        <c:axId val="2092685184"/>
        <c:scaling>
          <c:orientation val="minMax"/>
        </c:scaling>
        <c:delete val="0"/>
        <c:axPos val="b"/>
        <c:numFmt formatCode="General" sourceLinked="1"/>
        <c:majorTickMark val="none"/>
        <c:minorTickMark val="none"/>
        <c:tickLblPos val="nextTo"/>
        <c:spPr>
          <a:noFill/>
          <a:ln w="9525" cap="rnd" cmpd="sng" algn="ctr">
            <a:solidFill>
              <a:schemeClr val="bg1"/>
            </a:solidFill>
            <a:round/>
            <a:tailEnd w="sm" len="sm"/>
          </a:ln>
          <a:effectLst/>
        </c:spPr>
        <c:txPr>
          <a:bodyPr rot="-60000000" spcFirstLastPara="1" vertOverflow="ellipsis" vert="horz" wrap="square" anchor="ctr" anchorCtr="1"/>
          <a:lstStyle/>
          <a:p>
            <a:pPr>
              <a:defRPr sz="900" b="0" i="0" u="none" strike="noStrike" kern="1200" baseline="0">
                <a:solidFill>
                  <a:srgbClr val="2D1E64"/>
                </a:solidFill>
                <a:latin typeface="+mn-lt"/>
                <a:ea typeface="+mn-ea"/>
                <a:cs typeface="+mn-cs"/>
              </a:defRPr>
            </a:pPr>
            <a:endParaRPr lang="en-US"/>
          </a:p>
        </c:txPr>
        <c:crossAx val="2095871904"/>
        <c:crosses val="autoZero"/>
        <c:auto val="1"/>
        <c:lblAlgn val="ctr"/>
        <c:lblOffset val="100"/>
        <c:noMultiLvlLbl val="0"/>
      </c:catAx>
      <c:valAx>
        <c:axId val="2095871904"/>
        <c:scaling>
          <c:orientation val="minMax"/>
        </c:scaling>
        <c:delete val="0"/>
        <c:axPos val="l"/>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20926851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Project.xlsx]Unit Sold by Product (DONE)!PivotTable1</c:name>
    <c:fmtId val="7"/>
  </c:pivotSource>
  <c:chart>
    <c:title>
      <c:tx>
        <c:rich>
          <a:bodyPr rot="0" spcFirstLastPara="1" vertOverflow="ellipsis" vert="horz" wrap="square" anchor="ctr" anchorCtr="1"/>
          <a:lstStyle/>
          <a:p>
            <a:pPr>
              <a:defRPr sz="1400" b="0" i="0" u="none" strike="noStrike" kern="1200" spc="0" baseline="0">
                <a:solidFill>
                  <a:srgbClr val="2D1E64"/>
                </a:solidFill>
                <a:latin typeface="+mn-lt"/>
                <a:ea typeface="+mn-ea"/>
                <a:cs typeface="+mn-cs"/>
              </a:defRPr>
            </a:pPr>
            <a:r>
              <a:rPr lang="en-US">
                <a:solidFill>
                  <a:srgbClr val="49276B"/>
                </a:solidFill>
              </a:rPr>
              <a:t>Unit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D1E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9276B"/>
          </a:solidFill>
          <a:ln>
            <a:noFill/>
          </a:ln>
          <a:effectLst/>
        </c:spPr>
      </c:pivotFmt>
      <c:pivotFmt>
        <c:idx val="2"/>
        <c:spPr>
          <a:solidFill>
            <a:srgbClr val="683799"/>
          </a:solidFill>
          <a:ln>
            <a:noFill/>
          </a:ln>
          <a:effectLst/>
        </c:spPr>
      </c:pivotFmt>
      <c:pivotFmt>
        <c:idx val="3"/>
        <c:spPr>
          <a:solidFill>
            <a:srgbClr val="8044BC"/>
          </a:solidFill>
          <a:ln>
            <a:noFill/>
          </a:ln>
          <a:effectLst/>
        </c:spPr>
      </c:pivotFmt>
      <c:pivotFmt>
        <c:idx val="4"/>
        <c:spPr>
          <a:solidFill>
            <a:srgbClr val="9766C8"/>
          </a:solidFill>
          <a:ln>
            <a:noFill/>
          </a:ln>
          <a:effectLst/>
        </c:spPr>
      </c:pivotFmt>
      <c:pivotFmt>
        <c:idx val="5"/>
        <c:spPr>
          <a:solidFill>
            <a:srgbClr val="B693D9"/>
          </a:solidFill>
          <a:ln>
            <a:noFill/>
          </a:ln>
          <a:effectLst/>
        </c:spPr>
      </c:pivotFmt>
      <c:pivotFmt>
        <c:idx val="6"/>
        <c:spPr>
          <a:solidFill>
            <a:srgbClr val="C4A8E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4A8E0"/>
          </a:solidFill>
          <a:ln>
            <a:noFill/>
          </a:ln>
          <a:effectLst/>
        </c:spPr>
      </c:pivotFmt>
      <c:pivotFmt>
        <c:idx val="9"/>
        <c:spPr>
          <a:solidFill>
            <a:srgbClr val="B693D9"/>
          </a:solidFill>
          <a:ln>
            <a:noFill/>
          </a:ln>
          <a:effectLst/>
        </c:spPr>
      </c:pivotFmt>
      <c:pivotFmt>
        <c:idx val="10"/>
        <c:spPr>
          <a:solidFill>
            <a:srgbClr val="9766C8"/>
          </a:solidFill>
          <a:ln>
            <a:noFill/>
          </a:ln>
          <a:effectLst/>
        </c:spPr>
      </c:pivotFmt>
      <c:pivotFmt>
        <c:idx val="11"/>
        <c:spPr>
          <a:solidFill>
            <a:srgbClr val="8044BC"/>
          </a:solidFill>
          <a:ln>
            <a:noFill/>
          </a:ln>
          <a:effectLst/>
        </c:spPr>
      </c:pivotFmt>
      <c:pivotFmt>
        <c:idx val="12"/>
        <c:spPr>
          <a:solidFill>
            <a:srgbClr val="683799"/>
          </a:solidFill>
          <a:ln>
            <a:noFill/>
          </a:ln>
          <a:effectLst/>
        </c:spPr>
      </c:pivotFmt>
      <c:pivotFmt>
        <c:idx val="13"/>
        <c:spPr>
          <a:solidFill>
            <a:srgbClr val="49276B"/>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4A8E0"/>
          </a:solidFill>
          <a:ln>
            <a:noFill/>
          </a:ln>
          <a:effectLst/>
        </c:spPr>
      </c:pivotFmt>
      <c:pivotFmt>
        <c:idx val="16"/>
        <c:spPr>
          <a:solidFill>
            <a:srgbClr val="B693D9"/>
          </a:solidFill>
          <a:ln>
            <a:noFill/>
          </a:ln>
          <a:effectLst/>
        </c:spPr>
      </c:pivotFmt>
      <c:pivotFmt>
        <c:idx val="17"/>
        <c:spPr>
          <a:solidFill>
            <a:srgbClr val="9766C8"/>
          </a:solidFill>
          <a:ln>
            <a:noFill/>
          </a:ln>
          <a:effectLst/>
        </c:spPr>
      </c:pivotFmt>
      <c:pivotFmt>
        <c:idx val="18"/>
        <c:spPr>
          <a:solidFill>
            <a:srgbClr val="8044BC"/>
          </a:solidFill>
          <a:ln>
            <a:noFill/>
          </a:ln>
          <a:effectLst/>
        </c:spPr>
      </c:pivotFmt>
      <c:pivotFmt>
        <c:idx val="19"/>
        <c:spPr>
          <a:solidFill>
            <a:srgbClr val="683799"/>
          </a:solidFill>
          <a:ln>
            <a:noFill/>
          </a:ln>
          <a:effectLst/>
        </c:spPr>
      </c:pivotFmt>
      <c:pivotFmt>
        <c:idx val="20"/>
        <c:spPr>
          <a:solidFill>
            <a:srgbClr val="49276B"/>
          </a:solidFill>
          <a:ln>
            <a:noFill/>
          </a:ln>
          <a:effectLst/>
        </c:spPr>
      </c:pivotFmt>
    </c:pivotFmts>
    <c:plotArea>
      <c:layout/>
      <c:barChart>
        <c:barDir val="bar"/>
        <c:grouping val="clustered"/>
        <c:varyColors val="0"/>
        <c:ser>
          <c:idx val="0"/>
          <c:order val="0"/>
          <c:tx>
            <c:strRef>
              <c:f>'Unit Sold by Product (DONE)'!$B$3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1-BC68-4CCE-923E-87C7A58A407E}"/>
              </c:ext>
            </c:extLst>
          </c:dPt>
          <c:dPt>
            <c:idx val="1"/>
            <c:invertIfNegative val="0"/>
            <c:bubble3D val="0"/>
            <c:spPr>
              <a:solidFill>
                <a:srgbClr val="B693D9"/>
              </a:solidFill>
              <a:ln>
                <a:noFill/>
              </a:ln>
              <a:effectLst/>
            </c:spPr>
            <c:extLst>
              <c:ext xmlns:c16="http://schemas.microsoft.com/office/drawing/2014/chart" uri="{C3380CC4-5D6E-409C-BE32-E72D297353CC}">
                <c16:uniqueId val="{00000003-BC68-4CCE-923E-87C7A58A407E}"/>
              </c:ext>
            </c:extLst>
          </c:dPt>
          <c:dPt>
            <c:idx val="2"/>
            <c:invertIfNegative val="0"/>
            <c:bubble3D val="0"/>
            <c:spPr>
              <a:solidFill>
                <a:srgbClr val="9766C8"/>
              </a:solidFill>
              <a:ln>
                <a:noFill/>
              </a:ln>
              <a:effectLst/>
            </c:spPr>
            <c:extLst>
              <c:ext xmlns:c16="http://schemas.microsoft.com/office/drawing/2014/chart" uri="{C3380CC4-5D6E-409C-BE32-E72D297353CC}">
                <c16:uniqueId val="{00000005-BC68-4CCE-923E-87C7A58A407E}"/>
              </c:ext>
            </c:extLst>
          </c:dPt>
          <c:dPt>
            <c:idx val="3"/>
            <c:invertIfNegative val="0"/>
            <c:bubble3D val="0"/>
            <c:spPr>
              <a:solidFill>
                <a:srgbClr val="8044BC"/>
              </a:solidFill>
              <a:ln>
                <a:noFill/>
              </a:ln>
              <a:effectLst/>
            </c:spPr>
            <c:extLst>
              <c:ext xmlns:c16="http://schemas.microsoft.com/office/drawing/2014/chart" uri="{C3380CC4-5D6E-409C-BE32-E72D297353CC}">
                <c16:uniqueId val="{00000007-BC68-4CCE-923E-87C7A58A407E}"/>
              </c:ext>
            </c:extLst>
          </c:dPt>
          <c:dPt>
            <c:idx val="4"/>
            <c:invertIfNegative val="0"/>
            <c:bubble3D val="0"/>
            <c:spPr>
              <a:solidFill>
                <a:srgbClr val="683799"/>
              </a:solidFill>
              <a:ln>
                <a:noFill/>
              </a:ln>
              <a:effectLst/>
            </c:spPr>
            <c:extLst>
              <c:ext xmlns:c16="http://schemas.microsoft.com/office/drawing/2014/chart" uri="{C3380CC4-5D6E-409C-BE32-E72D297353CC}">
                <c16:uniqueId val="{00000009-BC68-4CCE-923E-87C7A58A407E}"/>
              </c:ext>
            </c:extLst>
          </c:dPt>
          <c:dPt>
            <c:idx val="5"/>
            <c:invertIfNegative val="0"/>
            <c:bubble3D val="0"/>
            <c:spPr>
              <a:solidFill>
                <a:srgbClr val="49276B"/>
              </a:solidFill>
              <a:ln>
                <a:noFill/>
              </a:ln>
              <a:effectLst/>
            </c:spPr>
            <c:extLst>
              <c:ext xmlns:c16="http://schemas.microsoft.com/office/drawing/2014/chart" uri="{C3380CC4-5D6E-409C-BE32-E72D297353CC}">
                <c16:uniqueId val="{0000000B-BC68-4CCE-923E-87C7A58A40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 Sold by Product (DONE)'!$A$4:$A$10</c:f>
              <c:strCache>
                <c:ptCount val="6"/>
                <c:pt idx="0">
                  <c:v>Carretera</c:v>
                </c:pt>
                <c:pt idx="1">
                  <c:v>Montana</c:v>
                </c:pt>
                <c:pt idx="2">
                  <c:v>Amarilla</c:v>
                </c:pt>
                <c:pt idx="3">
                  <c:v>Velo</c:v>
                </c:pt>
                <c:pt idx="4">
                  <c:v>VTT</c:v>
                </c:pt>
                <c:pt idx="5">
                  <c:v>Paseo</c:v>
                </c:pt>
              </c:strCache>
            </c:strRef>
          </c:cat>
          <c:val>
            <c:numRef>
              <c:f>'Unit Sold by Product (DONE)'!$B$4:$B$10</c:f>
              <c:numCache>
                <c:formatCode>_(* #,##0_);_(* \(#,##0\);_(* "-"??_);_(@_)</c:formatCode>
                <c:ptCount val="6"/>
                <c:pt idx="0">
                  <c:v>148056</c:v>
                </c:pt>
                <c:pt idx="1">
                  <c:v>156696</c:v>
                </c:pt>
                <c:pt idx="2">
                  <c:v>157883</c:v>
                </c:pt>
                <c:pt idx="3">
                  <c:v>162424.5</c:v>
                </c:pt>
                <c:pt idx="4">
                  <c:v>168783</c:v>
                </c:pt>
                <c:pt idx="5">
                  <c:v>338239.5</c:v>
                </c:pt>
              </c:numCache>
            </c:numRef>
          </c:val>
          <c:extLst>
            <c:ext xmlns:c16="http://schemas.microsoft.com/office/drawing/2014/chart" uri="{C3380CC4-5D6E-409C-BE32-E72D297353CC}">
              <c16:uniqueId val="{0000000C-BC68-4CCE-923E-87C7A58A407E}"/>
            </c:ext>
          </c:extLst>
        </c:ser>
        <c:dLbls>
          <c:showLegendKey val="0"/>
          <c:showVal val="0"/>
          <c:showCatName val="0"/>
          <c:showSerName val="0"/>
          <c:showPercent val="0"/>
          <c:showBubbleSize val="0"/>
        </c:dLbls>
        <c:gapWidth val="182"/>
        <c:axId val="1650228831"/>
        <c:axId val="1593011983"/>
      </c:barChart>
      <c:catAx>
        <c:axId val="16502288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1593011983"/>
        <c:crosses val="autoZero"/>
        <c:auto val="1"/>
        <c:lblAlgn val="ctr"/>
        <c:lblOffset val="100"/>
        <c:noMultiLvlLbl val="0"/>
      </c:catAx>
      <c:valAx>
        <c:axId val="1593011983"/>
        <c:scaling>
          <c:orientation val="minMax"/>
        </c:scaling>
        <c:delete val="0"/>
        <c:axPos val="b"/>
        <c:majorGridlines>
          <c:spPr>
            <a:ln w="9525" cap="flat" cmpd="sng" algn="ctr">
              <a:solidFill>
                <a:schemeClr val="bg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165022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Country (DONE)!Sales by Country</c:name>
    <c:fmtId val="7"/>
  </c:pivotSource>
  <c:chart>
    <c:title>
      <c:tx>
        <c:rich>
          <a:bodyPr rot="0" spcFirstLastPara="1" vertOverflow="ellipsis" vert="horz" wrap="square" anchor="ctr" anchorCtr="1"/>
          <a:lstStyle/>
          <a:p>
            <a:pPr>
              <a:defRPr sz="1400" b="0" i="0" u="none" strike="noStrike" kern="1200" spc="0" baseline="0">
                <a:solidFill>
                  <a:srgbClr val="49276B"/>
                </a:solidFill>
                <a:latin typeface="+mn-lt"/>
                <a:ea typeface="+mn-ea"/>
                <a:cs typeface="+mn-cs"/>
              </a:defRPr>
            </a:pPr>
            <a:r>
              <a:rPr lang="en-US">
                <a:solidFill>
                  <a:srgbClr val="49276B"/>
                </a:solidFill>
              </a:rPr>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9276B"/>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49276B"/>
          </a:solidFill>
          <a:ln>
            <a:noFill/>
          </a:ln>
          <a:effectLst/>
        </c:spPr>
      </c:pivotFmt>
      <c:pivotFmt>
        <c:idx val="3"/>
        <c:spPr>
          <a:solidFill>
            <a:srgbClr val="623490"/>
          </a:solidFill>
          <a:ln>
            <a:noFill/>
          </a:ln>
          <a:effectLst/>
        </c:spPr>
      </c:pivotFmt>
      <c:pivotFmt>
        <c:idx val="4"/>
        <c:spPr>
          <a:solidFill>
            <a:srgbClr val="7D42B8"/>
          </a:solidFill>
          <a:ln>
            <a:noFill/>
          </a:ln>
          <a:effectLst/>
        </c:spPr>
      </c:pivotFmt>
      <c:pivotFmt>
        <c:idx val="5"/>
        <c:spPr>
          <a:solidFill>
            <a:srgbClr val="9665C7"/>
          </a:solidFill>
          <a:ln>
            <a:noFill/>
          </a:ln>
          <a:effectLst/>
        </c:spPr>
      </c:pivotFmt>
      <c:pivotFmt>
        <c:idx val="6"/>
        <c:spPr>
          <a:solidFill>
            <a:srgbClr val="B897D9"/>
          </a:solidFill>
          <a:ln>
            <a:noFill/>
          </a:ln>
          <a:effectLst/>
        </c:spPr>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B897D9"/>
          </a:solidFill>
          <a:ln>
            <a:noFill/>
          </a:ln>
          <a:effectLst/>
        </c:spPr>
      </c:pivotFmt>
      <c:pivotFmt>
        <c:idx val="9"/>
        <c:spPr>
          <a:solidFill>
            <a:srgbClr val="9665C7"/>
          </a:solidFill>
          <a:ln>
            <a:noFill/>
          </a:ln>
          <a:effectLst/>
        </c:spPr>
      </c:pivotFmt>
      <c:pivotFmt>
        <c:idx val="10"/>
        <c:spPr>
          <a:solidFill>
            <a:srgbClr val="7D42B8"/>
          </a:solidFill>
          <a:ln>
            <a:noFill/>
          </a:ln>
          <a:effectLst/>
        </c:spPr>
      </c:pivotFmt>
      <c:pivotFmt>
        <c:idx val="11"/>
        <c:spPr>
          <a:solidFill>
            <a:srgbClr val="623490"/>
          </a:solidFill>
          <a:ln>
            <a:noFill/>
          </a:ln>
          <a:effectLst/>
        </c:spPr>
      </c:pivotFmt>
      <c:pivotFmt>
        <c:idx val="12"/>
        <c:spPr>
          <a:solidFill>
            <a:srgbClr val="49276B"/>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897D9"/>
          </a:solidFill>
          <a:ln>
            <a:noFill/>
          </a:ln>
          <a:effectLst/>
        </c:spPr>
      </c:pivotFmt>
      <c:pivotFmt>
        <c:idx val="15"/>
        <c:spPr>
          <a:solidFill>
            <a:srgbClr val="9665C7"/>
          </a:solidFill>
          <a:ln>
            <a:noFill/>
          </a:ln>
          <a:effectLst/>
        </c:spPr>
      </c:pivotFmt>
      <c:pivotFmt>
        <c:idx val="16"/>
        <c:spPr>
          <a:solidFill>
            <a:srgbClr val="7D42B8"/>
          </a:solidFill>
          <a:ln>
            <a:noFill/>
          </a:ln>
          <a:effectLst/>
        </c:spPr>
      </c:pivotFmt>
      <c:pivotFmt>
        <c:idx val="17"/>
        <c:spPr>
          <a:solidFill>
            <a:srgbClr val="623490"/>
          </a:solidFill>
          <a:ln>
            <a:noFill/>
          </a:ln>
          <a:effectLst/>
        </c:spPr>
      </c:pivotFmt>
      <c:pivotFmt>
        <c:idx val="18"/>
        <c:spPr>
          <a:solidFill>
            <a:srgbClr val="49276B"/>
          </a:solidFill>
          <a:ln>
            <a:noFill/>
          </a:ln>
          <a:effectLst/>
        </c:spPr>
      </c:pivotFmt>
      <c:pivotFmt>
        <c:idx val="19"/>
        <c:spPr>
          <a:solidFill>
            <a:srgbClr val="9766C8"/>
          </a:solidFill>
          <a:ln>
            <a:noFill/>
          </a:ln>
          <a:effectLst/>
        </c:spPr>
      </c:pivotFmt>
    </c:pivotFmts>
    <c:plotArea>
      <c:layout/>
      <c:barChart>
        <c:barDir val="bar"/>
        <c:grouping val="clustered"/>
        <c:varyColors val="0"/>
        <c:ser>
          <c:idx val="0"/>
          <c:order val="0"/>
          <c:tx>
            <c:strRef>
              <c:f>'Profit by Country (DONE)'!$B$3</c:f>
              <c:strCache>
                <c:ptCount val="1"/>
                <c:pt idx="0">
                  <c:v>Total</c:v>
                </c:pt>
              </c:strCache>
            </c:strRef>
          </c:tx>
          <c:spPr>
            <a:solidFill>
              <a:schemeClr val="accent1"/>
            </a:solidFill>
            <a:ln>
              <a:noFill/>
            </a:ln>
            <a:effectLst/>
          </c:spPr>
          <c:invertIfNegative val="0"/>
          <c:dPt>
            <c:idx val="0"/>
            <c:invertIfNegative val="0"/>
            <c:bubble3D val="0"/>
            <c:spPr>
              <a:solidFill>
                <a:srgbClr val="B897D9"/>
              </a:solidFill>
              <a:ln>
                <a:noFill/>
              </a:ln>
              <a:effectLst/>
            </c:spPr>
            <c:extLst>
              <c:ext xmlns:c16="http://schemas.microsoft.com/office/drawing/2014/chart" uri="{C3380CC4-5D6E-409C-BE32-E72D297353CC}">
                <c16:uniqueId val="{00000001-7D8A-4ED8-BDCC-D589CBDF97E9}"/>
              </c:ext>
            </c:extLst>
          </c:dPt>
          <c:dPt>
            <c:idx val="1"/>
            <c:invertIfNegative val="0"/>
            <c:bubble3D val="0"/>
            <c:spPr>
              <a:solidFill>
                <a:srgbClr val="9766C8"/>
              </a:solidFill>
              <a:ln>
                <a:noFill/>
              </a:ln>
              <a:effectLst/>
            </c:spPr>
            <c:extLst>
              <c:ext xmlns:c16="http://schemas.microsoft.com/office/drawing/2014/chart" uri="{C3380CC4-5D6E-409C-BE32-E72D297353CC}">
                <c16:uniqueId val="{00000003-7D8A-4ED8-BDCC-D589CBDF97E9}"/>
              </c:ext>
            </c:extLst>
          </c:dPt>
          <c:dPt>
            <c:idx val="2"/>
            <c:invertIfNegative val="0"/>
            <c:bubble3D val="0"/>
            <c:spPr>
              <a:solidFill>
                <a:srgbClr val="7D42B8"/>
              </a:solidFill>
              <a:ln>
                <a:noFill/>
              </a:ln>
              <a:effectLst/>
            </c:spPr>
            <c:extLst>
              <c:ext xmlns:c16="http://schemas.microsoft.com/office/drawing/2014/chart" uri="{C3380CC4-5D6E-409C-BE32-E72D297353CC}">
                <c16:uniqueId val="{00000005-7D8A-4ED8-BDCC-D589CBDF97E9}"/>
              </c:ext>
            </c:extLst>
          </c:dPt>
          <c:dPt>
            <c:idx val="3"/>
            <c:invertIfNegative val="0"/>
            <c:bubble3D val="0"/>
            <c:spPr>
              <a:solidFill>
                <a:srgbClr val="623490"/>
              </a:solidFill>
              <a:ln>
                <a:noFill/>
              </a:ln>
              <a:effectLst/>
            </c:spPr>
            <c:extLst>
              <c:ext xmlns:c16="http://schemas.microsoft.com/office/drawing/2014/chart" uri="{C3380CC4-5D6E-409C-BE32-E72D297353CC}">
                <c16:uniqueId val="{00000007-7D8A-4ED8-BDCC-D589CBDF97E9}"/>
              </c:ext>
            </c:extLst>
          </c:dPt>
          <c:dPt>
            <c:idx val="4"/>
            <c:invertIfNegative val="0"/>
            <c:bubble3D val="0"/>
            <c:spPr>
              <a:solidFill>
                <a:srgbClr val="49276B"/>
              </a:solidFill>
              <a:ln>
                <a:noFill/>
              </a:ln>
              <a:effectLst/>
            </c:spPr>
            <c:extLst>
              <c:ext xmlns:c16="http://schemas.microsoft.com/office/drawing/2014/chart" uri="{C3380CC4-5D6E-409C-BE32-E72D297353CC}">
                <c16:uniqueId val="{00000009-7D8A-4ED8-BDCC-D589CBDF97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Country (DONE)'!$A$4:$A$9</c:f>
              <c:strCache>
                <c:ptCount val="5"/>
                <c:pt idx="0">
                  <c:v>Mexico</c:v>
                </c:pt>
                <c:pt idx="1">
                  <c:v>America</c:v>
                </c:pt>
                <c:pt idx="2">
                  <c:v>Canada</c:v>
                </c:pt>
                <c:pt idx="3">
                  <c:v>Germany</c:v>
                </c:pt>
                <c:pt idx="4">
                  <c:v>France</c:v>
                </c:pt>
              </c:strCache>
            </c:strRef>
          </c:cat>
          <c:val>
            <c:numRef>
              <c:f>'Profit by Country (DONE)'!$B$4:$B$9</c:f>
              <c:numCache>
                <c:formatCode>_("$"* #,##0_);_("$"* \(#,##0\);_("$"* "-"??_);_(@_)</c:formatCode>
                <c:ptCount val="5"/>
                <c:pt idx="0">
                  <c:v>3012188.1100000003</c:v>
                </c:pt>
                <c:pt idx="1">
                  <c:v>3133598.6649999991</c:v>
                </c:pt>
                <c:pt idx="2">
                  <c:v>3529228.8850000002</c:v>
                </c:pt>
                <c:pt idx="3">
                  <c:v>3680388.8200000008</c:v>
                </c:pt>
                <c:pt idx="4">
                  <c:v>3781020.7800000007</c:v>
                </c:pt>
              </c:numCache>
            </c:numRef>
          </c:val>
          <c:extLst>
            <c:ext xmlns:c16="http://schemas.microsoft.com/office/drawing/2014/chart" uri="{C3380CC4-5D6E-409C-BE32-E72D297353CC}">
              <c16:uniqueId val="{0000000A-7D8A-4ED8-BDCC-D589CBDF97E9}"/>
            </c:ext>
          </c:extLst>
        </c:ser>
        <c:dLbls>
          <c:dLblPos val="inEnd"/>
          <c:showLegendKey val="0"/>
          <c:showVal val="1"/>
          <c:showCatName val="0"/>
          <c:showSerName val="0"/>
          <c:showPercent val="0"/>
          <c:showBubbleSize val="0"/>
        </c:dLbls>
        <c:gapWidth val="150"/>
        <c:axId val="1970343584"/>
        <c:axId val="2095873984"/>
      </c:barChart>
      <c:catAx>
        <c:axId val="19703435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2095873984"/>
        <c:crosses val="autoZero"/>
        <c:auto val="1"/>
        <c:lblAlgn val="ctr"/>
        <c:lblOffset val="100"/>
        <c:noMultiLvlLbl val="0"/>
      </c:catAx>
      <c:valAx>
        <c:axId val="209587398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197034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Project.xlsx]Discount &amp; Profit (Done)!PivotTable1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B1F57"/>
                </a:solidFill>
              </a:rPr>
              <a:t>Discount Band Impact 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2F81"/>
          </a:solidFill>
          <a:ln>
            <a:noFill/>
          </a:ln>
          <a:effectLst/>
        </c:spPr>
      </c:pivotFmt>
      <c:pivotFmt>
        <c:idx val="2"/>
        <c:spPr>
          <a:solidFill>
            <a:srgbClr val="9F72CC"/>
          </a:solidFill>
          <a:ln>
            <a:noFill/>
          </a:ln>
          <a:effectLst/>
        </c:spPr>
      </c:pivotFmt>
      <c:pivotFmt>
        <c:idx val="3"/>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82F81"/>
          </a:solidFill>
          <a:ln>
            <a:noFill/>
          </a:ln>
          <a:effectLst/>
        </c:spPr>
      </c:pivotFmt>
      <c:pivotFmt>
        <c:idx val="5"/>
        <c:spPr>
          <a:solidFill>
            <a:srgbClr val="9F72CC"/>
          </a:solidFill>
          <a:ln>
            <a:noFill/>
          </a:ln>
          <a:effectLst/>
        </c:spPr>
      </c:pivotFmt>
      <c:pivotFmt>
        <c:idx val="6"/>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82F81"/>
          </a:solidFill>
          <a:ln>
            <a:noFill/>
          </a:ln>
          <a:effectLst/>
        </c:spPr>
      </c:pivotFmt>
      <c:pivotFmt>
        <c:idx val="8"/>
        <c:spPr>
          <a:solidFill>
            <a:srgbClr val="9F72CC"/>
          </a:solidFill>
          <a:ln>
            <a:noFill/>
          </a:ln>
          <a:effectLst/>
        </c:spPr>
      </c:pivotFmt>
      <c:pivotFmt>
        <c:idx val="9"/>
        <c:spPr>
          <a:solidFill>
            <a:srgbClr val="C4A8E0"/>
          </a:solidFill>
          <a:ln>
            <a:noFill/>
          </a:ln>
          <a:effectLst/>
        </c:spPr>
      </c:pivotFmt>
    </c:pivotFmts>
    <c:plotArea>
      <c:layout/>
      <c:barChart>
        <c:barDir val="col"/>
        <c:grouping val="clustered"/>
        <c:varyColors val="0"/>
        <c:ser>
          <c:idx val="0"/>
          <c:order val="0"/>
          <c:tx>
            <c:strRef>
              <c:f>'Discount &amp; Profit (Done)'!$B$3</c:f>
              <c:strCache>
                <c:ptCount val="1"/>
                <c:pt idx="0">
                  <c:v>Total</c:v>
                </c:pt>
              </c:strCache>
            </c:strRef>
          </c:tx>
          <c:spPr>
            <a:solidFill>
              <a:srgbClr val="69389A"/>
            </a:solidFill>
            <a:ln>
              <a:noFill/>
            </a:ln>
            <a:effectLst/>
          </c:spPr>
          <c:invertIfNegative val="0"/>
          <c:dPt>
            <c:idx val="0"/>
            <c:invertIfNegative val="0"/>
            <c:bubble3D val="0"/>
            <c:spPr>
              <a:solidFill>
                <a:srgbClr val="582F81"/>
              </a:solidFill>
              <a:ln>
                <a:noFill/>
              </a:ln>
              <a:effectLst/>
            </c:spPr>
            <c:extLst>
              <c:ext xmlns:c16="http://schemas.microsoft.com/office/drawing/2014/chart" uri="{C3380CC4-5D6E-409C-BE32-E72D297353CC}">
                <c16:uniqueId val="{00000001-2E38-4465-BEFD-FBB2740F6A82}"/>
              </c:ext>
            </c:extLst>
          </c:dPt>
          <c:dPt>
            <c:idx val="2"/>
            <c:invertIfNegative val="0"/>
            <c:bubble3D val="0"/>
            <c:spPr>
              <a:solidFill>
                <a:srgbClr val="9F72CC"/>
              </a:solidFill>
              <a:ln>
                <a:noFill/>
              </a:ln>
              <a:effectLst/>
            </c:spPr>
            <c:extLst>
              <c:ext xmlns:c16="http://schemas.microsoft.com/office/drawing/2014/chart" uri="{C3380CC4-5D6E-409C-BE32-E72D297353CC}">
                <c16:uniqueId val="{00000003-2E38-4465-BEFD-FBB2740F6A82}"/>
              </c:ext>
            </c:extLst>
          </c:dPt>
          <c:dPt>
            <c:idx val="3"/>
            <c:invertIfNegative val="0"/>
            <c:bubble3D val="0"/>
            <c:spPr>
              <a:solidFill>
                <a:srgbClr val="C4A8E0"/>
              </a:solidFill>
              <a:ln>
                <a:noFill/>
              </a:ln>
              <a:effectLst/>
            </c:spPr>
            <c:extLst>
              <c:ext xmlns:c16="http://schemas.microsoft.com/office/drawing/2014/chart" uri="{C3380CC4-5D6E-409C-BE32-E72D297353CC}">
                <c16:uniqueId val="{00000004-9E8D-4304-A848-BEC3B159D6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&amp; Profit (Done)'!$A$4:$A$8</c:f>
              <c:strCache>
                <c:ptCount val="4"/>
                <c:pt idx="0">
                  <c:v>Low</c:v>
                </c:pt>
                <c:pt idx="1">
                  <c:v>Medium</c:v>
                </c:pt>
                <c:pt idx="2">
                  <c:v>High</c:v>
                </c:pt>
                <c:pt idx="3">
                  <c:v>None</c:v>
                </c:pt>
              </c:strCache>
            </c:strRef>
          </c:cat>
          <c:val>
            <c:numRef>
              <c:f>'Discount &amp; Profit (Done)'!$B$4:$B$8</c:f>
              <c:numCache>
                <c:formatCode>_("$"* #,##0_);_("$"* \(#,##0\);_("$"* "-"??_);_(@_)</c:formatCode>
                <c:ptCount val="4"/>
                <c:pt idx="0">
                  <c:v>6410928.700000002</c:v>
                </c:pt>
                <c:pt idx="1">
                  <c:v>5579522.8349999972</c:v>
                </c:pt>
                <c:pt idx="2">
                  <c:v>3388866.7250000001</c:v>
                </c:pt>
                <c:pt idx="3">
                  <c:v>1757107</c:v>
                </c:pt>
              </c:numCache>
            </c:numRef>
          </c:val>
          <c:extLst>
            <c:ext xmlns:c16="http://schemas.microsoft.com/office/drawing/2014/chart" uri="{C3380CC4-5D6E-409C-BE32-E72D297353CC}">
              <c16:uniqueId val="{00000004-2E38-4465-BEFD-FBB2740F6A82}"/>
            </c:ext>
          </c:extLst>
        </c:ser>
        <c:dLbls>
          <c:dLblPos val="outEnd"/>
          <c:showLegendKey val="0"/>
          <c:showVal val="1"/>
          <c:showCatName val="0"/>
          <c:showSerName val="0"/>
          <c:showPercent val="0"/>
          <c:showBubbleSize val="0"/>
        </c:dLbls>
        <c:gapWidth val="219"/>
        <c:axId val="521685872"/>
        <c:axId val="3306400"/>
      </c:barChart>
      <c:catAx>
        <c:axId val="521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1F57"/>
                </a:solidFill>
                <a:latin typeface="+mn-lt"/>
                <a:ea typeface="+mn-ea"/>
                <a:cs typeface="+mn-cs"/>
              </a:defRPr>
            </a:pPr>
            <a:endParaRPr lang="en-US"/>
          </a:p>
        </c:txPr>
        <c:crossAx val="3306400"/>
        <c:crosses val="autoZero"/>
        <c:auto val="1"/>
        <c:lblAlgn val="ctr"/>
        <c:lblOffset val="100"/>
        <c:noMultiLvlLbl val="0"/>
      </c:catAx>
      <c:valAx>
        <c:axId val="3306400"/>
        <c:scaling>
          <c:orientation val="minMax"/>
        </c:scaling>
        <c:delete val="0"/>
        <c:axPos val="l"/>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F57"/>
                </a:solidFill>
                <a:latin typeface="+mn-lt"/>
                <a:ea typeface="+mn-ea"/>
                <a:cs typeface="+mn-cs"/>
              </a:defRPr>
            </a:pPr>
            <a:endParaRPr lang="en-US"/>
          </a:p>
        </c:txPr>
        <c:crossAx val="52168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Product!PivotTable32</c:name>
    <c:fmtId val="4"/>
  </c:pivotSource>
  <c:chart>
    <c:title>
      <c:tx>
        <c:rich>
          <a:bodyPr rot="0" spcFirstLastPara="1" vertOverflow="ellipsis" vert="horz" wrap="square" anchor="ctr" anchorCtr="1"/>
          <a:lstStyle/>
          <a:p>
            <a:pPr>
              <a:defRPr sz="1400" b="0" i="0" u="none" strike="noStrike" kern="1200" spc="0" baseline="0">
                <a:solidFill>
                  <a:srgbClr val="492769"/>
                </a:solidFill>
                <a:latin typeface="+mn-lt"/>
                <a:ea typeface="+mn-ea"/>
                <a:cs typeface="+mn-cs"/>
              </a:defRPr>
            </a:pPr>
            <a:r>
              <a:rPr lang="en-US">
                <a:solidFill>
                  <a:srgbClr val="492769"/>
                </a:solidFill>
              </a:rPr>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9276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2769"/>
          </a:solidFill>
          <a:ln>
            <a:noFill/>
          </a:ln>
          <a:effectLst/>
        </c:spPr>
      </c:pivotFmt>
      <c:pivotFmt>
        <c:idx val="4"/>
        <c:spPr>
          <a:solidFill>
            <a:srgbClr val="683799"/>
          </a:solidFill>
          <a:ln>
            <a:noFill/>
          </a:ln>
          <a:effectLst/>
        </c:spPr>
      </c:pivotFmt>
      <c:pivotFmt>
        <c:idx val="5"/>
        <c:spPr>
          <a:solidFill>
            <a:srgbClr val="8044BC"/>
          </a:solidFill>
          <a:ln>
            <a:noFill/>
          </a:ln>
          <a:effectLst/>
        </c:spPr>
      </c:pivotFmt>
      <c:pivotFmt>
        <c:idx val="6"/>
        <c:spPr>
          <a:solidFill>
            <a:srgbClr val="9766C8"/>
          </a:solidFill>
          <a:ln>
            <a:noFill/>
          </a:ln>
          <a:effectLst/>
        </c:spPr>
      </c:pivotFmt>
      <c:pivotFmt>
        <c:idx val="7"/>
        <c:spPr>
          <a:solidFill>
            <a:srgbClr val="B693D9"/>
          </a:solidFill>
          <a:ln>
            <a:noFill/>
          </a:ln>
          <a:effectLst/>
        </c:spPr>
      </c:pivotFmt>
      <c:pivotFmt>
        <c:idx val="8"/>
        <c:spPr>
          <a:solidFill>
            <a:srgbClr val="C4A8E0"/>
          </a:solidFill>
          <a:ln>
            <a:noFill/>
          </a:ln>
          <a:effectLst/>
        </c:spPr>
      </c:pivotFmt>
    </c:pivotFmts>
    <c:plotArea>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5-A02F-41A6-87CC-45B84AC90CAD}"/>
              </c:ext>
            </c:extLst>
          </c:dPt>
          <c:dPt>
            <c:idx val="1"/>
            <c:invertIfNegative val="0"/>
            <c:bubble3D val="0"/>
            <c:spPr>
              <a:solidFill>
                <a:srgbClr val="B693D9"/>
              </a:solidFill>
              <a:ln>
                <a:noFill/>
              </a:ln>
              <a:effectLst/>
            </c:spPr>
            <c:extLst>
              <c:ext xmlns:c16="http://schemas.microsoft.com/office/drawing/2014/chart" uri="{C3380CC4-5D6E-409C-BE32-E72D297353CC}">
                <c16:uniqueId val="{00000004-A02F-41A6-87CC-45B84AC90CAD}"/>
              </c:ext>
            </c:extLst>
          </c:dPt>
          <c:dPt>
            <c:idx val="2"/>
            <c:invertIfNegative val="0"/>
            <c:bubble3D val="0"/>
            <c:spPr>
              <a:solidFill>
                <a:srgbClr val="9766C8"/>
              </a:solidFill>
              <a:ln>
                <a:noFill/>
              </a:ln>
              <a:effectLst/>
            </c:spPr>
            <c:extLst>
              <c:ext xmlns:c16="http://schemas.microsoft.com/office/drawing/2014/chart" uri="{C3380CC4-5D6E-409C-BE32-E72D297353CC}">
                <c16:uniqueId val="{00000003-A02F-41A6-87CC-45B84AC90CAD}"/>
              </c:ext>
            </c:extLst>
          </c:dPt>
          <c:dPt>
            <c:idx val="3"/>
            <c:invertIfNegative val="0"/>
            <c:bubble3D val="0"/>
            <c:spPr>
              <a:solidFill>
                <a:srgbClr val="8044BC"/>
              </a:solidFill>
              <a:ln>
                <a:noFill/>
              </a:ln>
              <a:effectLst/>
            </c:spPr>
            <c:extLst>
              <c:ext xmlns:c16="http://schemas.microsoft.com/office/drawing/2014/chart" uri="{C3380CC4-5D6E-409C-BE32-E72D297353CC}">
                <c16:uniqueId val="{00000002-A02F-41A6-87CC-45B84AC90CAD}"/>
              </c:ext>
            </c:extLst>
          </c:dPt>
          <c:dPt>
            <c:idx val="4"/>
            <c:invertIfNegative val="0"/>
            <c:bubble3D val="0"/>
            <c:spPr>
              <a:solidFill>
                <a:srgbClr val="683799"/>
              </a:solidFill>
              <a:ln>
                <a:noFill/>
              </a:ln>
              <a:effectLst/>
            </c:spPr>
            <c:extLst>
              <c:ext xmlns:c16="http://schemas.microsoft.com/office/drawing/2014/chart" uri="{C3380CC4-5D6E-409C-BE32-E72D297353CC}">
                <c16:uniqueId val="{00000001-A02F-41A6-87CC-45B84AC90CAD}"/>
              </c:ext>
            </c:extLst>
          </c:dPt>
          <c:dPt>
            <c:idx val="5"/>
            <c:invertIfNegative val="0"/>
            <c:bubble3D val="0"/>
            <c:spPr>
              <a:solidFill>
                <a:srgbClr val="492769"/>
              </a:solidFill>
              <a:ln>
                <a:noFill/>
              </a:ln>
              <a:effectLst/>
            </c:spPr>
            <c:extLst>
              <c:ext xmlns:c16="http://schemas.microsoft.com/office/drawing/2014/chart" uri="{C3380CC4-5D6E-409C-BE32-E72D297353CC}">
                <c16:uniqueId val="{00000000-A02F-41A6-87CC-45B84AC90C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Product'!$A$4:$A$10</c:f>
              <c:strCache>
                <c:ptCount val="6"/>
                <c:pt idx="0">
                  <c:v>Carretera</c:v>
                </c:pt>
                <c:pt idx="1">
                  <c:v>Montana</c:v>
                </c:pt>
                <c:pt idx="2">
                  <c:v>Velo</c:v>
                </c:pt>
                <c:pt idx="3">
                  <c:v>Amarilla</c:v>
                </c:pt>
                <c:pt idx="4">
                  <c:v>VTT</c:v>
                </c:pt>
                <c:pt idx="5">
                  <c:v>Paseo</c:v>
                </c:pt>
              </c:strCache>
            </c:strRef>
          </c:cat>
          <c:val>
            <c:numRef>
              <c:f>'Profit by Product'!$B$4:$B$10</c:f>
              <c:numCache>
                <c:formatCode>_(* #,##0_);_(* \(#,##0\);_(* "-"??_);_(@_)</c:formatCode>
                <c:ptCount val="6"/>
                <c:pt idx="0">
                  <c:v>1931469.8849999998</c:v>
                </c:pt>
                <c:pt idx="1">
                  <c:v>2232160.88</c:v>
                </c:pt>
                <c:pt idx="2">
                  <c:v>2305992.4649999999</c:v>
                </c:pt>
                <c:pt idx="3">
                  <c:v>2834756.06</c:v>
                </c:pt>
                <c:pt idx="4">
                  <c:v>3034608.0200000005</c:v>
                </c:pt>
                <c:pt idx="5">
                  <c:v>4797437.9499999993</c:v>
                </c:pt>
              </c:numCache>
            </c:numRef>
          </c:val>
          <c:extLst>
            <c:ext xmlns:c16="http://schemas.microsoft.com/office/drawing/2014/chart" uri="{C3380CC4-5D6E-409C-BE32-E72D297353CC}">
              <c16:uniqueId val="{00000000-8052-4B2E-80B3-BEFA157D4F26}"/>
            </c:ext>
          </c:extLst>
        </c:ser>
        <c:dLbls>
          <c:dLblPos val="outEnd"/>
          <c:showLegendKey val="0"/>
          <c:showVal val="1"/>
          <c:showCatName val="0"/>
          <c:showSerName val="0"/>
          <c:showPercent val="0"/>
          <c:showBubbleSize val="0"/>
        </c:dLbls>
        <c:gapWidth val="182"/>
        <c:axId val="1340233712"/>
        <c:axId val="1128646416"/>
      </c:barChart>
      <c:catAx>
        <c:axId val="13402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92769"/>
                </a:solidFill>
                <a:latin typeface="+mn-lt"/>
                <a:ea typeface="+mn-ea"/>
                <a:cs typeface="+mn-cs"/>
              </a:defRPr>
            </a:pPr>
            <a:endParaRPr lang="en-US"/>
          </a:p>
        </c:txPr>
        <c:crossAx val="1128646416"/>
        <c:crosses val="autoZero"/>
        <c:auto val="1"/>
        <c:lblAlgn val="ctr"/>
        <c:lblOffset val="100"/>
        <c:noMultiLvlLbl val="0"/>
      </c:catAx>
      <c:valAx>
        <c:axId val="112864641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9"/>
                </a:solidFill>
                <a:latin typeface="+mn-lt"/>
                <a:ea typeface="+mn-ea"/>
                <a:cs typeface="+mn-cs"/>
              </a:defRPr>
            </a:pPr>
            <a:endParaRPr lang="en-US"/>
          </a:p>
        </c:txPr>
        <c:crossAx val="134023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Project.xlsx]Sales by Product!PivotTable1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492769"/>
                </a:solidFill>
              </a:rPr>
              <a:t>Profit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2769"/>
          </a:solidFill>
          <a:ln>
            <a:noFill/>
          </a:ln>
          <a:effectLst/>
        </c:spPr>
      </c:pivotFmt>
      <c:pivotFmt>
        <c:idx val="4"/>
        <c:spPr>
          <a:solidFill>
            <a:srgbClr val="683799"/>
          </a:solidFill>
          <a:ln>
            <a:noFill/>
          </a:ln>
          <a:effectLst/>
        </c:spPr>
      </c:pivotFmt>
      <c:pivotFmt>
        <c:idx val="5"/>
        <c:spPr>
          <a:solidFill>
            <a:srgbClr val="8044BC"/>
          </a:solidFill>
          <a:ln>
            <a:noFill/>
          </a:ln>
          <a:effectLst/>
        </c:spPr>
      </c:pivotFmt>
      <c:pivotFmt>
        <c:idx val="6"/>
        <c:spPr>
          <a:solidFill>
            <a:srgbClr val="9766C8"/>
          </a:solidFill>
          <a:ln>
            <a:noFill/>
          </a:ln>
          <a:effectLst/>
        </c:spPr>
      </c:pivotFmt>
      <c:pivotFmt>
        <c:idx val="7"/>
        <c:spPr>
          <a:solidFill>
            <a:srgbClr val="B693D9"/>
          </a:solidFill>
          <a:ln>
            <a:noFill/>
          </a:ln>
          <a:effectLst/>
        </c:spPr>
      </c:pivotFmt>
      <c:pivotFmt>
        <c:idx val="8"/>
        <c:spPr>
          <a:solidFill>
            <a:srgbClr val="C4A8E0"/>
          </a:solidFill>
          <a:ln>
            <a:noFill/>
          </a:ln>
          <a:effectLst/>
        </c:spPr>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6-01C0-4484-AF24-87074F03B411}"/>
              </c:ext>
            </c:extLst>
          </c:dPt>
          <c:dPt>
            <c:idx val="1"/>
            <c:invertIfNegative val="0"/>
            <c:bubble3D val="0"/>
            <c:spPr>
              <a:solidFill>
                <a:srgbClr val="B693D9"/>
              </a:solidFill>
              <a:ln>
                <a:noFill/>
              </a:ln>
              <a:effectLst/>
            </c:spPr>
            <c:extLst>
              <c:ext xmlns:c16="http://schemas.microsoft.com/office/drawing/2014/chart" uri="{C3380CC4-5D6E-409C-BE32-E72D297353CC}">
                <c16:uniqueId val="{00000005-01C0-4484-AF24-87074F03B411}"/>
              </c:ext>
            </c:extLst>
          </c:dPt>
          <c:dPt>
            <c:idx val="2"/>
            <c:invertIfNegative val="0"/>
            <c:bubble3D val="0"/>
            <c:spPr>
              <a:solidFill>
                <a:srgbClr val="9766C8"/>
              </a:solidFill>
              <a:ln>
                <a:noFill/>
              </a:ln>
              <a:effectLst/>
            </c:spPr>
            <c:extLst>
              <c:ext xmlns:c16="http://schemas.microsoft.com/office/drawing/2014/chart" uri="{C3380CC4-5D6E-409C-BE32-E72D297353CC}">
                <c16:uniqueId val="{00000004-01C0-4484-AF24-87074F03B411}"/>
              </c:ext>
            </c:extLst>
          </c:dPt>
          <c:dPt>
            <c:idx val="3"/>
            <c:invertIfNegative val="0"/>
            <c:bubble3D val="0"/>
            <c:spPr>
              <a:solidFill>
                <a:srgbClr val="8044BC"/>
              </a:solidFill>
              <a:ln>
                <a:noFill/>
              </a:ln>
              <a:effectLst/>
            </c:spPr>
            <c:extLst>
              <c:ext xmlns:c16="http://schemas.microsoft.com/office/drawing/2014/chart" uri="{C3380CC4-5D6E-409C-BE32-E72D297353CC}">
                <c16:uniqueId val="{00000003-01C0-4484-AF24-87074F03B411}"/>
              </c:ext>
            </c:extLst>
          </c:dPt>
          <c:dPt>
            <c:idx val="4"/>
            <c:invertIfNegative val="0"/>
            <c:bubble3D val="0"/>
            <c:spPr>
              <a:solidFill>
                <a:srgbClr val="683799"/>
              </a:solidFill>
              <a:ln>
                <a:noFill/>
              </a:ln>
              <a:effectLst/>
            </c:spPr>
            <c:extLst>
              <c:ext xmlns:c16="http://schemas.microsoft.com/office/drawing/2014/chart" uri="{C3380CC4-5D6E-409C-BE32-E72D297353CC}">
                <c16:uniqueId val="{00000002-01C0-4484-AF24-87074F03B411}"/>
              </c:ext>
            </c:extLst>
          </c:dPt>
          <c:dPt>
            <c:idx val="5"/>
            <c:invertIfNegative val="0"/>
            <c:bubble3D val="0"/>
            <c:spPr>
              <a:solidFill>
                <a:srgbClr val="492769"/>
              </a:solidFill>
              <a:ln>
                <a:noFill/>
              </a:ln>
              <a:effectLst/>
            </c:spPr>
            <c:extLst>
              <c:ext xmlns:c16="http://schemas.microsoft.com/office/drawing/2014/chart" uri="{C3380CC4-5D6E-409C-BE32-E72D297353CC}">
                <c16:uniqueId val="{00000001-01C0-4484-AF24-87074F03B4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Product'!$A$4:$A$10</c:f>
              <c:strCache>
                <c:ptCount val="6"/>
                <c:pt idx="0">
                  <c:v>Carretera</c:v>
                </c:pt>
                <c:pt idx="1">
                  <c:v>Montana</c:v>
                </c:pt>
                <c:pt idx="2">
                  <c:v>Amarilla</c:v>
                </c:pt>
                <c:pt idx="3">
                  <c:v>Velo</c:v>
                </c:pt>
                <c:pt idx="4">
                  <c:v>VTT</c:v>
                </c:pt>
                <c:pt idx="5">
                  <c:v>Paseo</c:v>
                </c:pt>
              </c:strCache>
            </c:strRef>
          </c:cat>
          <c:val>
            <c:numRef>
              <c:f>'Sales by Product'!$B$4:$B$10</c:f>
              <c:numCache>
                <c:formatCode>_([$$-409]* #,##0_);_([$$-409]* \(#,##0\);_([$$-409]* "-"??_);_(@_)</c:formatCode>
                <c:ptCount val="6"/>
                <c:pt idx="0">
                  <c:v>14234572.885000004</c:v>
                </c:pt>
                <c:pt idx="1">
                  <c:v>16132707.879999999</c:v>
                </c:pt>
                <c:pt idx="2">
                  <c:v>17779777.059999999</c:v>
                </c:pt>
                <c:pt idx="3">
                  <c:v>18250059.465</c:v>
                </c:pt>
                <c:pt idx="4">
                  <c:v>20511921.02</c:v>
                </c:pt>
                <c:pt idx="5">
                  <c:v>33011143.95000001</c:v>
                </c:pt>
              </c:numCache>
            </c:numRef>
          </c:val>
          <c:extLst>
            <c:ext xmlns:c16="http://schemas.microsoft.com/office/drawing/2014/chart" uri="{C3380CC4-5D6E-409C-BE32-E72D297353CC}">
              <c16:uniqueId val="{00000000-01C0-4484-AF24-87074F03B411}"/>
            </c:ext>
          </c:extLst>
        </c:ser>
        <c:dLbls>
          <c:dLblPos val="outEnd"/>
          <c:showLegendKey val="0"/>
          <c:showVal val="1"/>
          <c:showCatName val="0"/>
          <c:showSerName val="0"/>
          <c:showPercent val="0"/>
          <c:showBubbleSize val="0"/>
        </c:dLbls>
        <c:gapWidth val="182"/>
        <c:axId val="1047071903"/>
        <c:axId val="930767007"/>
      </c:barChart>
      <c:catAx>
        <c:axId val="10470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92769"/>
                </a:solidFill>
                <a:latin typeface="+mn-lt"/>
                <a:ea typeface="+mn-ea"/>
                <a:cs typeface="+mn-cs"/>
              </a:defRPr>
            </a:pPr>
            <a:endParaRPr lang="en-US"/>
          </a:p>
        </c:txPr>
        <c:crossAx val="930767007"/>
        <c:crosses val="autoZero"/>
        <c:auto val="1"/>
        <c:lblAlgn val="ctr"/>
        <c:lblOffset val="100"/>
        <c:noMultiLvlLbl val="0"/>
      </c:catAx>
      <c:valAx>
        <c:axId val="930767007"/>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9"/>
                </a:solidFill>
                <a:latin typeface="+mn-lt"/>
                <a:ea typeface="+mn-ea"/>
                <a:cs typeface="+mn-cs"/>
              </a:defRPr>
            </a:pPr>
            <a:endParaRPr lang="en-US"/>
          </a:p>
        </c:txPr>
        <c:crossAx val="104707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Project.xlsx]Unit Sold by Product (DONE)!PivotTable1</c:name>
    <c:fmtId val="11"/>
  </c:pivotSource>
  <c:chart>
    <c:title>
      <c:tx>
        <c:rich>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r>
              <a:rPr lang="en-US">
                <a:solidFill>
                  <a:srgbClr val="2F1943"/>
                </a:solidFill>
              </a:rPr>
              <a:t>Unit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9276B"/>
          </a:solidFill>
          <a:ln>
            <a:noFill/>
          </a:ln>
          <a:effectLst/>
        </c:spPr>
      </c:pivotFmt>
      <c:pivotFmt>
        <c:idx val="2"/>
        <c:spPr>
          <a:solidFill>
            <a:srgbClr val="683799"/>
          </a:solidFill>
          <a:ln>
            <a:noFill/>
          </a:ln>
          <a:effectLst/>
        </c:spPr>
      </c:pivotFmt>
      <c:pivotFmt>
        <c:idx val="3"/>
        <c:spPr>
          <a:solidFill>
            <a:srgbClr val="8044BC"/>
          </a:solidFill>
          <a:ln>
            <a:noFill/>
          </a:ln>
          <a:effectLst/>
        </c:spPr>
      </c:pivotFmt>
      <c:pivotFmt>
        <c:idx val="4"/>
        <c:spPr>
          <a:solidFill>
            <a:srgbClr val="9766C8"/>
          </a:solidFill>
          <a:ln>
            <a:noFill/>
          </a:ln>
          <a:effectLst/>
        </c:spPr>
      </c:pivotFmt>
      <c:pivotFmt>
        <c:idx val="5"/>
        <c:spPr>
          <a:solidFill>
            <a:srgbClr val="B693D9"/>
          </a:solidFill>
          <a:ln>
            <a:noFill/>
          </a:ln>
          <a:effectLst/>
        </c:spPr>
      </c:pivotFmt>
      <c:pivotFmt>
        <c:idx val="6"/>
        <c:spPr>
          <a:solidFill>
            <a:srgbClr val="C4A8E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4A8E0"/>
          </a:solidFill>
          <a:ln>
            <a:noFill/>
          </a:ln>
          <a:effectLst/>
        </c:spPr>
      </c:pivotFmt>
      <c:pivotFmt>
        <c:idx val="9"/>
        <c:spPr>
          <a:solidFill>
            <a:srgbClr val="B693D9"/>
          </a:solidFill>
          <a:ln>
            <a:noFill/>
          </a:ln>
          <a:effectLst/>
        </c:spPr>
      </c:pivotFmt>
      <c:pivotFmt>
        <c:idx val="10"/>
        <c:spPr>
          <a:solidFill>
            <a:srgbClr val="9766C8"/>
          </a:solidFill>
          <a:ln>
            <a:noFill/>
          </a:ln>
          <a:effectLst/>
        </c:spPr>
      </c:pivotFmt>
      <c:pivotFmt>
        <c:idx val="11"/>
        <c:spPr>
          <a:solidFill>
            <a:srgbClr val="8044BC"/>
          </a:solidFill>
          <a:ln>
            <a:noFill/>
          </a:ln>
          <a:effectLst/>
        </c:spPr>
      </c:pivotFmt>
      <c:pivotFmt>
        <c:idx val="12"/>
        <c:spPr>
          <a:solidFill>
            <a:srgbClr val="683799"/>
          </a:solidFill>
          <a:ln>
            <a:noFill/>
          </a:ln>
          <a:effectLst/>
        </c:spPr>
      </c:pivotFmt>
      <c:pivotFmt>
        <c:idx val="13"/>
        <c:spPr>
          <a:solidFill>
            <a:srgbClr val="49276B"/>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4A8E0"/>
          </a:solidFill>
          <a:ln>
            <a:noFill/>
          </a:ln>
          <a:effectLst/>
        </c:spPr>
      </c:pivotFmt>
      <c:pivotFmt>
        <c:idx val="16"/>
        <c:spPr>
          <a:solidFill>
            <a:srgbClr val="B693D9"/>
          </a:solidFill>
          <a:ln>
            <a:noFill/>
          </a:ln>
          <a:effectLst/>
        </c:spPr>
      </c:pivotFmt>
      <c:pivotFmt>
        <c:idx val="17"/>
        <c:spPr>
          <a:solidFill>
            <a:srgbClr val="9766C8"/>
          </a:solidFill>
          <a:ln>
            <a:noFill/>
          </a:ln>
          <a:effectLst/>
        </c:spPr>
      </c:pivotFmt>
      <c:pivotFmt>
        <c:idx val="18"/>
        <c:spPr>
          <a:solidFill>
            <a:srgbClr val="8044BC"/>
          </a:solidFill>
          <a:ln>
            <a:noFill/>
          </a:ln>
          <a:effectLst/>
        </c:spPr>
      </c:pivotFmt>
      <c:pivotFmt>
        <c:idx val="19"/>
        <c:spPr>
          <a:solidFill>
            <a:srgbClr val="683799"/>
          </a:solidFill>
          <a:ln>
            <a:noFill/>
          </a:ln>
          <a:effectLst/>
        </c:spPr>
      </c:pivotFmt>
      <c:pivotFmt>
        <c:idx val="20"/>
        <c:spPr>
          <a:solidFill>
            <a:srgbClr val="49276B"/>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4A8E0"/>
          </a:solidFill>
          <a:ln>
            <a:noFill/>
          </a:ln>
          <a:effectLst/>
        </c:spPr>
      </c:pivotFmt>
      <c:pivotFmt>
        <c:idx val="23"/>
        <c:spPr>
          <a:solidFill>
            <a:srgbClr val="B693D9"/>
          </a:solidFill>
          <a:ln>
            <a:noFill/>
          </a:ln>
          <a:effectLst/>
        </c:spPr>
      </c:pivotFmt>
      <c:pivotFmt>
        <c:idx val="24"/>
        <c:spPr>
          <a:solidFill>
            <a:srgbClr val="9766C8"/>
          </a:solidFill>
          <a:ln>
            <a:noFill/>
          </a:ln>
          <a:effectLst/>
        </c:spPr>
      </c:pivotFmt>
      <c:pivotFmt>
        <c:idx val="25"/>
        <c:spPr>
          <a:solidFill>
            <a:srgbClr val="8044BC"/>
          </a:solidFill>
          <a:ln>
            <a:noFill/>
          </a:ln>
          <a:effectLst/>
        </c:spPr>
      </c:pivotFmt>
      <c:pivotFmt>
        <c:idx val="26"/>
        <c:spPr>
          <a:solidFill>
            <a:srgbClr val="683799"/>
          </a:solidFill>
          <a:ln>
            <a:noFill/>
          </a:ln>
          <a:effectLst/>
        </c:spPr>
      </c:pivotFmt>
      <c:pivotFmt>
        <c:idx val="27"/>
        <c:spPr>
          <a:solidFill>
            <a:srgbClr val="49276B"/>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C4A8E0"/>
          </a:solidFill>
          <a:ln>
            <a:noFill/>
          </a:ln>
          <a:effectLst/>
        </c:spPr>
      </c:pivotFmt>
      <c:pivotFmt>
        <c:idx val="30"/>
        <c:spPr>
          <a:solidFill>
            <a:srgbClr val="B693D9"/>
          </a:solidFill>
          <a:ln>
            <a:noFill/>
          </a:ln>
          <a:effectLst/>
        </c:spPr>
      </c:pivotFmt>
      <c:pivotFmt>
        <c:idx val="31"/>
        <c:spPr>
          <a:solidFill>
            <a:srgbClr val="9766C8"/>
          </a:solidFill>
          <a:ln>
            <a:noFill/>
          </a:ln>
          <a:effectLst/>
        </c:spPr>
      </c:pivotFmt>
      <c:pivotFmt>
        <c:idx val="32"/>
        <c:spPr>
          <a:solidFill>
            <a:srgbClr val="8044BC"/>
          </a:solidFill>
          <a:ln>
            <a:noFill/>
          </a:ln>
          <a:effectLst/>
        </c:spPr>
      </c:pivotFmt>
      <c:pivotFmt>
        <c:idx val="33"/>
        <c:spPr>
          <a:solidFill>
            <a:srgbClr val="683799"/>
          </a:solidFill>
          <a:ln>
            <a:noFill/>
          </a:ln>
          <a:effectLst/>
        </c:spPr>
      </c:pivotFmt>
      <c:pivotFmt>
        <c:idx val="34"/>
        <c:spPr>
          <a:solidFill>
            <a:srgbClr val="49276B"/>
          </a:solidFill>
          <a:ln>
            <a:noFill/>
          </a:ln>
          <a:effectLst/>
        </c:spPr>
      </c:pivotFmt>
    </c:pivotFmts>
    <c:plotArea>
      <c:layout/>
      <c:barChart>
        <c:barDir val="bar"/>
        <c:grouping val="clustered"/>
        <c:varyColors val="0"/>
        <c:ser>
          <c:idx val="0"/>
          <c:order val="0"/>
          <c:tx>
            <c:strRef>
              <c:f>'Unit Sold by Product (DONE)'!$B$3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1-68F7-441F-89DA-0DED0306BF51}"/>
              </c:ext>
            </c:extLst>
          </c:dPt>
          <c:dPt>
            <c:idx val="1"/>
            <c:invertIfNegative val="0"/>
            <c:bubble3D val="0"/>
            <c:spPr>
              <a:solidFill>
                <a:srgbClr val="B693D9"/>
              </a:solidFill>
              <a:ln>
                <a:noFill/>
              </a:ln>
              <a:effectLst/>
            </c:spPr>
            <c:extLst>
              <c:ext xmlns:c16="http://schemas.microsoft.com/office/drawing/2014/chart" uri="{C3380CC4-5D6E-409C-BE32-E72D297353CC}">
                <c16:uniqueId val="{00000003-68F7-441F-89DA-0DED0306BF51}"/>
              </c:ext>
            </c:extLst>
          </c:dPt>
          <c:dPt>
            <c:idx val="2"/>
            <c:invertIfNegative val="0"/>
            <c:bubble3D val="0"/>
            <c:spPr>
              <a:solidFill>
                <a:srgbClr val="9766C8"/>
              </a:solidFill>
              <a:ln>
                <a:noFill/>
              </a:ln>
              <a:effectLst/>
            </c:spPr>
            <c:extLst>
              <c:ext xmlns:c16="http://schemas.microsoft.com/office/drawing/2014/chart" uri="{C3380CC4-5D6E-409C-BE32-E72D297353CC}">
                <c16:uniqueId val="{00000005-68F7-441F-89DA-0DED0306BF51}"/>
              </c:ext>
            </c:extLst>
          </c:dPt>
          <c:dPt>
            <c:idx val="3"/>
            <c:invertIfNegative val="0"/>
            <c:bubble3D val="0"/>
            <c:spPr>
              <a:solidFill>
                <a:srgbClr val="8044BC"/>
              </a:solidFill>
              <a:ln>
                <a:noFill/>
              </a:ln>
              <a:effectLst/>
            </c:spPr>
            <c:extLst>
              <c:ext xmlns:c16="http://schemas.microsoft.com/office/drawing/2014/chart" uri="{C3380CC4-5D6E-409C-BE32-E72D297353CC}">
                <c16:uniqueId val="{00000007-68F7-441F-89DA-0DED0306BF51}"/>
              </c:ext>
            </c:extLst>
          </c:dPt>
          <c:dPt>
            <c:idx val="4"/>
            <c:invertIfNegative val="0"/>
            <c:bubble3D val="0"/>
            <c:spPr>
              <a:solidFill>
                <a:srgbClr val="683799"/>
              </a:solidFill>
              <a:ln>
                <a:noFill/>
              </a:ln>
              <a:effectLst/>
            </c:spPr>
            <c:extLst>
              <c:ext xmlns:c16="http://schemas.microsoft.com/office/drawing/2014/chart" uri="{C3380CC4-5D6E-409C-BE32-E72D297353CC}">
                <c16:uniqueId val="{00000009-68F7-441F-89DA-0DED0306BF51}"/>
              </c:ext>
            </c:extLst>
          </c:dPt>
          <c:dPt>
            <c:idx val="5"/>
            <c:invertIfNegative val="0"/>
            <c:bubble3D val="0"/>
            <c:spPr>
              <a:solidFill>
                <a:srgbClr val="49276B"/>
              </a:solidFill>
              <a:ln>
                <a:noFill/>
              </a:ln>
              <a:effectLst/>
            </c:spPr>
            <c:extLst>
              <c:ext xmlns:c16="http://schemas.microsoft.com/office/drawing/2014/chart" uri="{C3380CC4-5D6E-409C-BE32-E72D297353CC}">
                <c16:uniqueId val="{0000000B-68F7-441F-89DA-0DED0306BF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 Sold by Product (DONE)'!$A$4:$A$10</c:f>
              <c:strCache>
                <c:ptCount val="6"/>
                <c:pt idx="0">
                  <c:v>Carretera</c:v>
                </c:pt>
                <c:pt idx="1">
                  <c:v>Montana</c:v>
                </c:pt>
                <c:pt idx="2">
                  <c:v>Amarilla</c:v>
                </c:pt>
                <c:pt idx="3">
                  <c:v>Velo</c:v>
                </c:pt>
                <c:pt idx="4">
                  <c:v>VTT</c:v>
                </c:pt>
                <c:pt idx="5">
                  <c:v>Paseo</c:v>
                </c:pt>
              </c:strCache>
            </c:strRef>
          </c:cat>
          <c:val>
            <c:numRef>
              <c:f>'Unit Sold by Product (DONE)'!$B$4:$B$10</c:f>
              <c:numCache>
                <c:formatCode>_(* #,##0_);_(* \(#,##0\);_(* "-"??_);_(@_)</c:formatCode>
                <c:ptCount val="6"/>
                <c:pt idx="0">
                  <c:v>148056</c:v>
                </c:pt>
                <c:pt idx="1">
                  <c:v>156696</c:v>
                </c:pt>
                <c:pt idx="2">
                  <c:v>157883</c:v>
                </c:pt>
                <c:pt idx="3">
                  <c:v>162424.5</c:v>
                </c:pt>
                <c:pt idx="4">
                  <c:v>168783</c:v>
                </c:pt>
                <c:pt idx="5">
                  <c:v>338239.5</c:v>
                </c:pt>
              </c:numCache>
            </c:numRef>
          </c:val>
          <c:extLst>
            <c:ext xmlns:c16="http://schemas.microsoft.com/office/drawing/2014/chart" uri="{C3380CC4-5D6E-409C-BE32-E72D297353CC}">
              <c16:uniqueId val="{0000000C-68F7-441F-89DA-0DED0306BF51}"/>
            </c:ext>
          </c:extLst>
        </c:ser>
        <c:dLbls>
          <c:showLegendKey val="0"/>
          <c:showVal val="0"/>
          <c:showCatName val="0"/>
          <c:showSerName val="0"/>
          <c:showPercent val="0"/>
          <c:showBubbleSize val="0"/>
        </c:dLbls>
        <c:gapWidth val="182"/>
        <c:axId val="1650228831"/>
        <c:axId val="1593011983"/>
      </c:barChart>
      <c:catAx>
        <c:axId val="16502288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593011983"/>
        <c:crosses val="autoZero"/>
        <c:auto val="1"/>
        <c:lblAlgn val="ctr"/>
        <c:lblOffset val="100"/>
        <c:noMultiLvlLbl val="0"/>
      </c:catAx>
      <c:valAx>
        <c:axId val="1593011983"/>
        <c:scaling>
          <c:orientation val="minMax"/>
        </c:scaling>
        <c:delete val="0"/>
        <c:axPos val="b"/>
        <c:majorGridlines>
          <c:spPr>
            <a:ln w="9525" cap="flat" cmpd="sng" algn="ctr">
              <a:solidFill>
                <a:schemeClr val="bg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65022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Country (DONE)!Sales by Country</c:name>
    <c:fmtId val="9"/>
  </c:pivotSource>
  <c:chart>
    <c:title>
      <c:tx>
        <c:rich>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r>
              <a:rPr lang="en-US">
                <a:solidFill>
                  <a:srgbClr val="2F1943"/>
                </a:solidFill>
              </a:rPr>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49276B"/>
          </a:solidFill>
          <a:ln>
            <a:noFill/>
          </a:ln>
          <a:effectLst/>
        </c:spPr>
      </c:pivotFmt>
      <c:pivotFmt>
        <c:idx val="3"/>
        <c:spPr>
          <a:solidFill>
            <a:srgbClr val="623490"/>
          </a:solidFill>
          <a:ln>
            <a:noFill/>
          </a:ln>
          <a:effectLst/>
        </c:spPr>
      </c:pivotFmt>
      <c:pivotFmt>
        <c:idx val="4"/>
        <c:spPr>
          <a:solidFill>
            <a:srgbClr val="7D42B8"/>
          </a:solidFill>
          <a:ln>
            <a:noFill/>
          </a:ln>
          <a:effectLst/>
        </c:spPr>
      </c:pivotFmt>
      <c:pivotFmt>
        <c:idx val="5"/>
        <c:spPr>
          <a:solidFill>
            <a:srgbClr val="9665C7"/>
          </a:solidFill>
          <a:ln>
            <a:noFill/>
          </a:ln>
          <a:effectLst/>
        </c:spPr>
      </c:pivotFmt>
      <c:pivotFmt>
        <c:idx val="6"/>
        <c:spPr>
          <a:solidFill>
            <a:srgbClr val="B897D9"/>
          </a:solidFill>
          <a:ln>
            <a:noFill/>
          </a:ln>
          <a:effectLst/>
        </c:spPr>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B897D9"/>
          </a:solidFill>
          <a:ln>
            <a:noFill/>
          </a:ln>
          <a:effectLst/>
        </c:spPr>
      </c:pivotFmt>
      <c:pivotFmt>
        <c:idx val="9"/>
        <c:spPr>
          <a:solidFill>
            <a:srgbClr val="9665C7"/>
          </a:solidFill>
          <a:ln>
            <a:noFill/>
          </a:ln>
          <a:effectLst/>
        </c:spPr>
      </c:pivotFmt>
      <c:pivotFmt>
        <c:idx val="10"/>
        <c:spPr>
          <a:solidFill>
            <a:srgbClr val="7D42B8"/>
          </a:solidFill>
          <a:ln>
            <a:noFill/>
          </a:ln>
          <a:effectLst/>
        </c:spPr>
      </c:pivotFmt>
      <c:pivotFmt>
        <c:idx val="11"/>
        <c:spPr>
          <a:solidFill>
            <a:srgbClr val="623490"/>
          </a:solidFill>
          <a:ln>
            <a:noFill/>
          </a:ln>
          <a:effectLst/>
        </c:spPr>
      </c:pivotFmt>
      <c:pivotFmt>
        <c:idx val="12"/>
        <c:spPr>
          <a:solidFill>
            <a:srgbClr val="49276B"/>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897D9"/>
          </a:solidFill>
          <a:ln>
            <a:noFill/>
          </a:ln>
          <a:effectLst/>
        </c:spPr>
      </c:pivotFmt>
      <c:pivotFmt>
        <c:idx val="15"/>
        <c:spPr>
          <a:solidFill>
            <a:srgbClr val="9665C7"/>
          </a:solidFill>
          <a:ln>
            <a:noFill/>
          </a:ln>
          <a:effectLst/>
        </c:spPr>
      </c:pivotFmt>
      <c:pivotFmt>
        <c:idx val="16"/>
        <c:spPr>
          <a:solidFill>
            <a:srgbClr val="7D42B8"/>
          </a:solidFill>
          <a:ln>
            <a:noFill/>
          </a:ln>
          <a:effectLst/>
        </c:spPr>
      </c:pivotFmt>
      <c:pivotFmt>
        <c:idx val="17"/>
        <c:spPr>
          <a:solidFill>
            <a:srgbClr val="623490"/>
          </a:solidFill>
          <a:ln>
            <a:noFill/>
          </a:ln>
          <a:effectLst/>
        </c:spPr>
      </c:pivotFmt>
      <c:pivotFmt>
        <c:idx val="18"/>
        <c:spPr>
          <a:solidFill>
            <a:srgbClr val="49276B"/>
          </a:solidFill>
          <a:ln>
            <a:noFill/>
          </a:ln>
          <a:effectLst/>
        </c:spPr>
      </c:pivotFmt>
      <c:pivotFmt>
        <c:idx val="19"/>
        <c:spPr>
          <a:solidFill>
            <a:srgbClr val="9766C8"/>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897D9"/>
          </a:solidFill>
          <a:ln>
            <a:noFill/>
          </a:ln>
          <a:effectLst/>
        </c:spPr>
      </c:pivotFmt>
      <c:pivotFmt>
        <c:idx val="22"/>
        <c:spPr>
          <a:solidFill>
            <a:srgbClr val="9766C8"/>
          </a:solidFill>
          <a:ln>
            <a:noFill/>
          </a:ln>
          <a:effectLst/>
        </c:spPr>
      </c:pivotFmt>
      <c:pivotFmt>
        <c:idx val="23"/>
        <c:spPr>
          <a:solidFill>
            <a:srgbClr val="7D42B8"/>
          </a:solidFill>
          <a:ln>
            <a:noFill/>
          </a:ln>
          <a:effectLst/>
        </c:spPr>
      </c:pivotFmt>
      <c:pivotFmt>
        <c:idx val="24"/>
        <c:spPr>
          <a:solidFill>
            <a:srgbClr val="623490"/>
          </a:solidFill>
          <a:ln>
            <a:noFill/>
          </a:ln>
          <a:effectLst/>
        </c:spPr>
      </c:pivotFmt>
      <c:pivotFmt>
        <c:idx val="25"/>
        <c:spPr>
          <a:solidFill>
            <a:srgbClr val="49276B"/>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B897D9"/>
          </a:solidFill>
          <a:ln>
            <a:noFill/>
          </a:ln>
          <a:effectLst/>
        </c:spPr>
      </c:pivotFmt>
      <c:pivotFmt>
        <c:idx val="28"/>
        <c:spPr>
          <a:solidFill>
            <a:srgbClr val="9766C8"/>
          </a:solidFill>
          <a:ln>
            <a:noFill/>
          </a:ln>
          <a:effectLst/>
        </c:spPr>
      </c:pivotFmt>
      <c:pivotFmt>
        <c:idx val="29"/>
        <c:spPr>
          <a:solidFill>
            <a:srgbClr val="7D42B8"/>
          </a:solidFill>
          <a:ln>
            <a:noFill/>
          </a:ln>
          <a:effectLst/>
        </c:spPr>
      </c:pivotFmt>
      <c:pivotFmt>
        <c:idx val="30"/>
        <c:spPr>
          <a:solidFill>
            <a:srgbClr val="623490"/>
          </a:solidFill>
          <a:ln>
            <a:noFill/>
          </a:ln>
          <a:effectLst/>
        </c:spPr>
      </c:pivotFmt>
      <c:pivotFmt>
        <c:idx val="31"/>
        <c:spPr>
          <a:solidFill>
            <a:srgbClr val="49276B"/>
          </a:solidFill>
          <a:ln>
            <a:noFill/>
          </a:ln>
          <a:effectLst/>
        </c:spPr>
      </c:pivotFmt>
    </c:pivotFmts>
    <c:plotArea>
      <c:layout/>
      <c:barChart>
        <c:barDir val="bar"/>
        <c:grouping val="clustered"/>
        <c:varyColors val="0"/>
        <c:ser>
          <c:idx val="0"/>
          <c:order val="0"/>
          <c:tx>
            <c:strRef>
              <c:f>'Profit by Country (DONE)'!$B$3</c:f>
              <c:strCache>
                <c:ptCount val="1"/>
                <c:pt idx="0">
                  <c:v>Total</c:v>
                </c:pt>
              </c:strCache>
            </c:strRef>
          </c:tx>
          <c:spPr>
            <a:solidFill>
              <a:schemeClr val="accent1"/>
            </a:solidFill>
            <a:ln>
              <a:noFill/>
            </a:ln>
            <a:effectLst/>
          </c:spPr>
          <c:invertIfNegative val="0"/>
          <c:dPt>
            <c:idx val="0"/>
            <c:invertIfNegative val="0"/>
            <c:bubble3D val="0"/>
            <c:spPr>
              <a:solidFill>
                <a:srgbClr val="B897D9"/>
              </a:solidFill>
              <a:ln>
                <a:noFill/>
              </a:ln>
              <a:effectLst/>
            </c:spPr>
            <c:extLst>
              <c:ext xmlns:c16="http://schemas.microsoft.com/office/drawing/2014/chart" uri="{C3380CC4-5D6E-409C-BE32-E72D297353CC}">
                <c16:uniqueId val="{00000001-4AC6-4BCB-AD80-F3F3CAC95899}"/>
              </c:ext>
            </c:extLst>
          </c:dPt>
          <c:dPt>
            <c:idx val="1"/>
            <c:invertIfNegative val="0"/>
            <c:bubble3D val="0"/>
            <c:spPr>
              <a:solidFill>
                <a:srgbClr val="9766C8"/>
              </a:solidFill>
              <a:ln>
                <a:noFill/>
              </a:ln>
              <a:effectLst/>
            </c:spPr>
            <c:extLst>
              <c:ext xmlns:c16="http://schemas.microsoft.com/office/drawing/2014/chart" uri="{C3380CC4-5D6E-409C-BE32-E72D297353CC}">
                <c16:uniqueId val="{00000003-4AC6-4BCB-AD80-F3F3CAC95899}"/>
              </c:ext>
            </c:extLst>
          </c:dPt>
          <c:dPt>
            <c:idx val="2"/>
            <c:invertIfNegative val="0"/>
            <c:bubble3D val="0"/>
            <c:spPr>
              <a:solidFill>
                <a:srgbClr val="7D42B8"/>
              </a:solidFill>
              <a:ln>
                <a:noFill/>
              </a:ln>
              <a:effectLst/>
            </c:spPr>
            <c:extLst>
              <c:ext xmlns:c16="http://schemas.microsoft.com/office/drawing/2014/chart" uri="{C3380CC4-5D6E-409C-BE32-E72D297353CC}">
                <c16:uniqueId val="{00000005-4AC6-4BCB-AD80-F3F3CAC95899}"/>
              </c:ext>
            </c:extLst>
          </c:dPt>
          <c:dPt>
            <c:idx val="3"/>
            <c:invertIfNegative val="0"/>
            <c:bubble3D val="0"/>
            <c:spPr>
              <a:solidFill>
                <a:srgbClr val="623490"/>
              </a:solidFill>
              <a:ln>
                <a:noFill/>
              </a:ln>
              <a:effectLst/>
            </c:spPr>
            <c:extLst>
              <c:ext xmlns:c16="http://schemas.microsoft.com/office/drawing/2014/chart" uri="{C3380CC4-5D6E-409C-BE32-E72D297353CC}">
                <c16:uniqueId val="{00000007-4AC6-4BCB-AD80-F3F3CAC95899}"/>
              </c:ext>
            </c:extLst>
          </c:dPt>
          <c:dPt>
            <c:idx val="4"/>
            <c:invertIfNegative val="0"/>
            <c:bubble3D val="0"/>
            <c:spPr>
              <a:solidFill>
                <a:srgbClr val="49276B"/>
              </a:solidFill>
              <a:ln>
                <a:noFill/>
              </a:ln>
              <a:effectLst/>
            </c:spPr>
            <c:extLst>
              <c:ext xmlns:c16="http://schemas.microsoft.com/office/drawing/2014/chart" uri="{C3380CC4-5D6E-409C-BE32-E72D297353CC}">
                <c16:uniqueId val="{00000009-4AC6-4BCB-AD80-F3F3CAC958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Country (DONE)'!$A$4:$A$9</c:f>
              <c:strCache>
                <c:ptCount val="5"/>
                <c:pt idx="0">
                  <c:v>Mexico</c:v>
                </c:pt>
                <c:pt idx="1">
                  <c:v>America</c:v>
                </c:pt>
                <c:pt idx="2">
                  <c:v>Canada</c:v>
                </c:pt>
                <c:pt idx="3">
                  <c:v>Germany</c:v>
                </c:pt>
                <c:pt idx="4">
                  <c:v>France</c:v>
                </c:pt>
              </c:strCache>
            </c:strRef>
          </c:cat>
          <c:val>
            <c:numRef>
              <c:f>'Profit by Country (DONE)'!$B$4:$B$9</c:f>
              <c:numCache>
                <c:formatCode>_("$"* #,##0_);_("$"* \(#,##0\);_("$"* "-"??_);_(@_)</c:formatCode>
                <c:ptCount val="5"/>
                <c:pt idx="0">
                  <c:v>3012188.1100000003</c:v>
                </c:pt>
                <c:pt idx="1">
                  <c:v>3133598.6649999991</c:v>
                </c:pt>
                <c:pt idx="2">
                  <c:v>3529228.8850000002</c:v>
                </c:pt>
                <c:pt idx="3">
                  <c:v>3680388.8200000008</c:v>
                </c:pt>
                <c:pt idx="4">
                  <c:v>3781020.7800000007</c:v>
                </c:pt>
              </c:numCache>
            </c:numRef>
          </c:val>
          <c:extLst>
            <c:ext xmlns:c16="http://schemas.microsoft.com/office/drawing/2014/chart" uri="{C3380CC4-5D6E-409C-BE32-E72D297353CC}">
              <c16:uniqueId val="{0000000A-4AC6-4BCB-AD80-F3F3CAC95899}"/>
            </c:ext>
          </c:extLst>
        </c:ser>
        <c:dLbls>
          <c:dLblPos val="inEnd"/>
          <c:showLegendKey val="0"/>
          <c:showVal val="1"/>
          <c:showCatName val="0"/>
          <c:showSerName val="0"/>
          <c:showPercent val="0"/>
          <c:showBubbleSize val="0"/>
        </c:dLbls>
        <c:gapWidth val="150"/>
        <c:axId val="1970343584"/>
        <c:axId val="2095873984"/>
      </c:barChart>
      <c:catAx>
        <c:axId val="19703435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2095873984"/>
        <c:crosses val="autoZero"/>
        <c:auto val="1"/>
        <c:lblAlgn val="ctr"/>
        <c:lblOffset val="100"/>
        <c:noMultiLvlLbl val="0"/>
      </c:catAx>
      <c:valAx>
        <c:axId val="209587398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97034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Segment (DONE)!Sales by Segment</c:name>
    <c:fmtId val="11"/>
  </c:pivotSource>
  <c:chart>
    <c:title>
      <c:tx>
        <c:rich>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r>
              <a:rPr lang="en-US" sz="1400" b="0">
                <a:solidFill>
                  <a:srgbClr val="2F1943"/>
                </a:solidFill>
              </a:rPr>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endParaRPr lang="en-US"/>
        </a:p>
      </c:txPr>
    </c:title>
    <c:autoTitleDeleted val="0"/>
    <c:pivotFmts>
      <c:pivotFmt>
        <c:idx val="0"/>
        <c:spPr>
          <a:solidFill>
            <a:srgbClr val="69389A"/>
          </a:solidFill>
          <a:ln>
            <a:noFill/>
          </a:ln>
          <a:effectLst/>
        </c:spPr>
        <c:marker>
          <c:symbol val="none"/>
        </c:marker>
      </c:pivotFmt>
      <c:pivotFmt>
        <c:idx val="1"/>
        <c:spPr>
          <a:solidFill>
            <a:srgbClr val="8851BF"/>
          </a:solidFill>
          <a:ln>
            <a:noFill/>
          </a:ln>
          <a:effectLst/>
        </c:spPr>
      </c:pivotFmt>
      <c:pivotFmt>
        <c:idx val="2"/>
        <c:spPr>
          <a:solidFill>
            <a:srgbClr val="A57BCF"/>
          </a:solidFill>
          <a:ln>
            <a:noFill/>
          </a:ln>
          <a:effectLst/>
        </c:spPr>
      </c:pivotFmt>
      <c:pivotFmt>
        <c:idx val="3"/>
        <c:spPr>
          <a:solidFill>
            <a:srgbClr val="BA9ADA"/>
          </a:solidFill>
          <a:ln>
            <a:noFill/>
          </a:ln>
          <a:effectLst/>
        </c:spPr>
      </c:pivotFmt>
      <c:pivotFmt>
        <c:idx val="4"/>
        <c:spPr>
          <a:solidFill>
            <a:srgbClr val="E8DDF3"/>
          </a:solidFill>
          <a:ln>
            <a:noFill/>
          </a:ln>
          <a:effectLst/>
        </c:spPr>
      </c:pivotFmt>
      <c:pivotFmt>
        <c:idx val="5"/>
        <c:spPr>
          <a:solidFill>
            <a:srgbClr val="69389A"/>
          </a:solidFill>
          <a:ln>
            <a:noFill/>
          </a:ln>
          <a:effectLst/>
        </c:spPr>
      </c:pivotFmt>
      <c:pivotFmt>
        <c:idx val="6"/>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DDF3"/>
          </a:solidFill>
          <a:ln>
            <a:noFill/>
          </a:ln>
          <a:effectLst/>
        </c:spPr>
      </c:pivotFmt>
      <c:pivotFmt>
        <c:idx val="8"/>
        <c:spPr>
          <a:solidFill>
            <a:srgbClr val="BA9ADA"/>
          </a:solidFill>
          <a:ln>
            <a:noFill/>
          </a:ln>
          <a:effectLst/>
        </c:spPr>
      </c:pivotFmt>
      <c:pivotFmt>
        <c:idx val="9"/>
        <c:spPr>
          <a:solidFill>
            <a:srgbClr val="A57BCF"/>
          </a:solidFill>
          <a:ln>
            <a:noFill/>
          </a:ln>
          <a:effectLst/>
        </c:spPr>
      </c:pivotFmt>
      <c:pivotFmt>
        <c:idx val="10"/>
        <c:spPr>
          <a:solidFill>
            <a:srgbClr val="8851BF"/>
          </a:solidFill>
          <a:ln>
            <a:noFill/>
          </a:ln>
          <a:effectLst/>
        </c:spPr>
      </c:pivotFmt>
      <c:pivotFmt>
        <c:idx val="11"/>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F8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8DDF3"/>
          </a:solidFill>
          <a:ln>
            <a:noFill/>
          </a:ln>
          <a:effectLst/>
        </c:spPr>
      </c:pivotFmt>
      <c:pivotFmt>
        <c:idx val="13"/>
        <c:spPr>
          <a:solidFill>
            <a:srgbClr val="BA9ADA"/>
          </a:solidFill>
          <a:ln>
            <a:noFill/>
          </a:ln>
          <a:effectLst/>
        </c:spPr>
      </c:pivotFmt>
      <c:pivotFmt>
        <c:idx val="14"/>
        <c:spPr>
          <a:solidFill>
            <a:srgbClr val="A57BCF"/>
          </a:solidFill>
          <a:ln>
            <a:noFill/>
          </a:ln>
          <a:effectLst/>
        </c:spPr>
      </c:pivotFmt>
      <c:pivotFmt>
        <c:idx val="15"/>
        <c:spPr>
          <a:solidFill>
            <a:srgbClr val="8851BF"/>
          </a:solidFill>
          <a:ln>
            <a:noFill/>
          </a:ln>
          <a:effectLst/>
        </c:spPr>
      </c:pivotFmt>
      <c:pivotFmt>
        <c:idx val="1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layout>
            <c:manualLayout>
              <c:x val="2.1941454468115667E-3"/>
              <c:y val="0.12574343034544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B1F57"/>
          </a:solidFill>
          <a:ln>
            <a:noFill/>
          </a:ln>
          <a:effectLst/>
        </c:spPr>
      </c:pivotFmt>
      <c:pivotFmt>
        <c:idx val="19"/>
        <c:spPr>
          <a:solidFill>
            <a:srgbClr val="643593"/>
          </a:solidFill>
          <a:ln>
            <a:noFill/>
          </a:ln>
          <a:effectLst/>
        </c:spPr>
      </c:pivotFmt>
      <c:pivotFmt>
        <c:idx val="20"/>
        <c:spPr>
          <a:solidFill>
            <a:srgbClr val="9F72CC"/>
          </a:solidFill>
          <a:ln>
            <a:noFill/>
          </a:ln>
          <a:effectLst/>
        </c:spPr>
      </c:pivotFmt>
      <c:pivotFmt>
        <c:idx val="21"/>
        <c:spPr>
          <a:solidFill>
            <a:srgbClr val="B897D9"/>
          </a:solidFill>
          <a:ln>
            <a:noFill/>
          </a:ln>
          <a:effectLst/>
        </c:spPr>
      </c:pivotFmt>
      <c:pivotFmt>
        <c:idx val="2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B1F57"/>
          </a:solidFill>
          <a:ln>
            <a:noFill/>
          </a:ln>
          <a:effectLst/>
        </c:spPr>
      </c:pivotFmt>
      <c:pivotFmt>
        <c:idx val="24"/>
        <c:spPr>
          <a:solidFill>
            <a:srgbClr val="643593"/>
          </a:solidFill>
          <a:ln>
            <a:noFill/>
          </a:ln>
          <a:effectLst/>
        </c:spPr>
      </c:pivotFmt>
      <c:pivotFmt>
        <c:idx val="25"/>
        <c:spPr>
          <a:solidFill>
            <a:srgbClr val="9F72CC"/>
          </a:solidFill>
          <a:ln>
            <a:noFill/>
          </a:ln>
          <a:effectLst/>
        </c:spPr>
      </c:pivotFmt>
      <c:pivotFmt>
        <c:idx val="26"/>
        <c:spPr>
          <a:solidFill>
            <a:srgbClr val="B897D9"/>
          </a:solidFill>
          <a:ln>
            <a:noFill/>
          </a:ln>
          <a:effectLst/>
        </c:spPr>
      </c:pivotFmt>
      <c:pivotFmt>
        <c:idx val="27"/>
        <c:spPr>
          <a:solidFill>
            <a:srgbClr val="C00000"/>
          </a:solidFill>
          <a:ln>
            <a:noFill/>
          </a:ln>
          <a:effectLst/>
        </c:spPr>
        <c:dLbl>
          <c:idx val="0"/>
          <c:layout>
            <c:manualLayout>
              <c:x val="2.1941454468115667E-3"/>
              <c:y val="0.12574343034544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3B1F57"/>
          </a:solidFill>
          <a:ln>
            <a:noFill/>
          </a:ln>
          <a:effectLst/>
        </c:spPr>
      </c:pivotFmt>
      <c:pivotFmt>
        <c:idx val="30"/>
        <c:spPr>
          <a:solidFill>
            <a:srgbClr val="643593"/>
          </a:solidFill>
          <a:ln>
            <a:noFill/>
          </a:ln>
          <a:effectLst/>
        </c:spPr>
      </c:pivotFmt>
      <c:pivotFmt>
        <c:idx val="31"/>
        <c:spPr>
          <a:solidFill>
            <a:srgbClr val="9F72CC"/>
          </a:solidFill>
          <a:ln>
            <a:noFill/>
          </a:ln>
          <a:effectLst/>
        </c:spPr>
      </c:pivotFmt>
      <c:pivotFmt>
        <c:idx val="32"/>
        <c:spPr>
          <a:solidFill>
            <a:srgbClr val="B897D9"/>
          </a:solidFill>
          <a:ln>
            <a:noFill/>
          </a:ln>
          <a:effectLst/>
        </c:spPr>
      </c:pivotFmt>
      <c:pivotFmt>
        <c:idx val="33"/>
        <c:spPr>
          <a:solidFill>
            <a:srgbClr val="C00000"/>
          </a:solidFill>
          <a:ln>
            <a:noFill/>
          </a:ln>
          <a:effectLst/>
        </c:spPr>
        <c:dLbl>
          <c:idx val="0"/>
          <c:layout>
            <c:manualLayout>
              <c:x val="2.1941454468115667E-3"/>
              <c:y val="0.12574343034544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Segment (DONE)'!$B$3</c:f>
              <c:strCache>
                <c:ptCount val="1"/>
                <c:pt idx="0">
                  <c:v>Total</c:v>
                </c:pt>
              </c:strCache>
            </c:strRef>
          </c:tx>
          <c:spPr>
            <a:solidFill>
              <a:srgbClr val="C00000"/>
            </a:solidFill>
            <a:ln>
              <a:noFill/>
            </a:ln>
            <a:effectLst/>
          </c:spPr>
          <c:invertIfNegative val="0"/>
          <c:dPt>
            <c:idx val="0"/>
            <c:invertIfNegative val="0"/>
            <c:bubble3D val="0"/>
            <c:spPr>
              <a:solidFill>
                <a:srgbClr val="3B1F57"/>
              </a:solidFill>
              <a:ln>
                <a:noFill/>
              </a:ln>
              <a:effectLst/>
            </c:spPr>
            <c:extLst>
              <c:ext xmlns:c16="http://schemas.microsoft.com/office/drawing/2014/chart" uri="{C3380CC4-5D6E-409C-BE32-E72D297353CC}">
                <c16:uniqueId val="{00000001-192B-4331-870C-529F2AEB6F85}"/>
              </c:ext>
            </c:extLst>
          </c:dPt>
          <c:dPt>
            <c:idx val="1"/>
            <c:invertIfNegative val="0"/>
            <c:bubble3D val="0"/>
            <c:spPr>
              <a:solidFill>
                <a:srgbClr val="643593"/>
              </a:solidFill>
              <a:ln>
                <a:noFill/>
              </a:ln>
              <a:effectLst/>
            </c:spPr>
            <c:extLst>
              <c:ext xmlns:c16="http://schemas.microsoft.com/office/drawing/2014/chart" uri="{C3380CC4-5D6E-409C-BE32-E72D297353CC}">
                <c16:uniqueId val="{00000003-192B-4331-870C-529F2AEB6F85}"/>
              </c:ext>
            </c:extLst>
          </c:dPt>
          <c:dPt>
            <c:idx val="2"/>
            <c:invertIfNegative val="0"/>
            <c:bubble3D val="0"/>
            <c:spPr>
              <a:solidFill>
                <a:srgbClr val="9F72CC"/>
              </a:solidFill>
              <a:ln>
                <a:noFill/>
              </a:ln>
              <a:effectLst/>
            </c:spPr>
            <c:extLst>
              <c:ext xmlns:c16="http://schemas.microsoft.com/office/drawing/2014/chart" uri="{C3380CC4-5D6E-409C-BE32-E72D297353CC}">
                <c16:uniqueId val="{00000005-192B-4331-870C-529F2AEB6F85}"/>
              </c:ext>
            </c:extLst>
          </c:dPt>
          <c:dPt>
            <c:idx val="3"/>
            <c:invertIfNegative val="0"/>
            <c:bubble3D val="0"/>
            <c:spPr>
              <a:solidFill>
                <a:srgbClr val="B897D9"/>
              </a:solidFill>
              <a:ln>
                <a:noFill/>
              </a:ln>
              <a:effectLst/>
            </c:spPr>
            <c:extLst>
              <c:ext xmlns:c16="http://schemas.microsoft.com/office/drawing/2014/chart" uri="{C3380CC4-5D6E-409C-BE32-E72D297353CC}">
                <c16:uniqueId val="{00000007-192B-4331-870C-529F2AEB6F85}"/>
              </c:ext>
            </c:extLst>
          </c:dPt>
          <c:dPt>
            <c:idx val="4"/>
            <c:invertIfNegative val="0"/>
            <c:bubble3D val="0"/>
            <c:spPr>
              <a:solidFill>
                <a:srgbClr val="C00000"/>
              </a:solidFill>
              <a:ln>
                <a:noFill/>
              </a:ln>
              <a:effectLst/>
            </c:spPr>
            <c:extLst>
              <c:ext xmlns:c16="http://schemas.microsoft.com/office/drawing/2014/chart" uri="{C3380CC4-5D6E-409C-BE32-E72D297353CC}">
                <c16:uniqueId val="{00000009-192B-4331-870C-529F2AEB6F85}"/>
              </c:ext>
            </c:extLst>
          </c:dPt>
          <c:dLbls>
            <c:dLbl>
              <c:idx val="4"/>
              <c:layout>
                <c:manualLayout>
                  <c:x val="2.1941454468115667E-3"/>
                  <c:y val="0.1257434303454496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2B-4331-870C-529F2AEB6F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Segment (DONE)'!$A$4:$A$9</c:f>
              <c:strCache>
                <c:ptCount val="5"/>
                <c:pt idx="0">
                  <c:v>Government</c:v>
                </c:pt>
                <c:pt idx="1">
                  <c:v>Small Business</c:v>
                </c:pt>
                <c:pt idx="2">
                  <c:v>Channel Partners</c:v>
                </c:pt>
                <c:pt idx="3">
                  <c:v>Midmarket</c:v>
                </c:pt>
                <c:pt idx="4">
                  <c:v>Enterprise</c:v>
                </c:pt>
              </c:strCache>
            </c:strRef>
          </c:cat>
          <c:val>
            <c:numRef>
              <c:f>'Profit by Segment (DONE)'!$B$4:$B$9</c:f>
              <c:numCache>
                <c:formatCode>_([$$-409]* #,##0_);_([$$-409]* \(#,##0\);_([$$-409]* "-"??_);_(@_)</c:formatCode>
                <c:ptCount val="5"/>
                <c:pt idx="0">
                  <c:v>11492838.169999985</c:v>
                </c:pt>
                <c:pt idx="1">
                  <c:v>4260574.5</c:v>
                </c:pt>
                <c:pt idx="2">
                  <c:v>1334380.1399999999</c:v>
                </c:pt>
                <c:pt idx="3">
                  <c:v>663178.07499999995</c:v>
                </c:pt>
                <c:pt idx="4">
                  <c:v>-614545.625</c:v>
                </c:pt>
              </c:numCache>
            </c:numRef>
          </c:val>
          <c:extLst>
            <c:ext xmlns:c16="http://schemas.microsoft.com/office/drawing/2014/chart" uri="{C3380CC4-5D6E-409C-BE32-E72D297353CC}">
              <c16:uniqueId val="{0000000A-192B-4331-870C-529F2AEB6F85}"/>
            </c:ext>
          </c:extLst>
        </c:ser>
        <c:dLbls>
          <c:dLblPos val="inEnd"/>
          <c:showLegendKey val="0"/>
          <c:showVal val="1"/>
          <c:showCatName val="0"/>
          <c:showSerName val="0"/>
          <c:showPercent val="0"/>
          <c:showBubbleSize val="0"/>
        </c:dLbls>
        <c:gapWidth val="150"/>
        <c:axId val="2092685184"/>
        <c:axId val="2095871904"/>
      </c:barChart>
      <c:catAx>
        <c:axId val="2092685184"/>
        <c:scaling>
          <c:orientation val="minMax"/>
        </c:scaling>
        <c:delete val="0"/>
        <c:axPos val="b"/>
        <c:numFmt formatCode="General" sourceLinked="1"/>
        <c:majorTickMark val="none"/>
        <c:minorTickMark val="none"/>
        <c:tickLblPos val="nextTo"/>
        <c:spPr>
          <a:noFill/>
          <a:ln w="9525" cap="rnd" cmpd="sng" algn="ctr">
            <a:solidFill>
              <a:schemeClr val="bg1"/>
            </a:solidFill>
            <a:round/>
            <a:tailEnd w="sm" len="sm"/>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2095871904"/>
        <c:crosses val="autoZero"/>
        <c:auto val="1"/>
        <c:lblAlgn val="ctr"/>
        <c:lblOffset val="100"/>
        <c:noMultiLvlLbl val="0"/>
      </c:catAx>
      <c:valAx>
        <c:axId val="2095871904"/>
        <c:scaling>
          <c:orientation val="minMax"/>
        </c:scaling>
        <c:delete val="0"/>
        <c:axPos val="l"/>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20926851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Project.xlsx]Discount &amp; Profit (Done)!PivotTable1</c:name>
    <c:fmtId val="11"/>
  </c:pivotSource>
  <c:chart>
    <c:title>
      <c:tx>
        <c:rich>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r>
              <a:rPr lang="en-US">
                <a:solidFill>
                  <a:srgbClr val="2F1943"/>
                </a:solidFill>
              </a:rPr>
              <a:t>Discount Band Impact 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endParaRPr lang="en-US"/>
        </a:p>
      </c:txPr>
    </c:title>
    <c:autoTitleDeleted val="0"/>
    <c:pivotFmts>
      <c:pivotFmt>
        <c:idx val="0"/>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2F81"/>
          </a:solidFill>
          <a:ln>
            <a:noFill/>
          </a:ln>
          <a:effectLst/>
        </c:spPr>
      </c:pivotFmt>
      <c:pivotFmt>
        <c:idx val="2"/>
        <c:spPr>
          <a:solidFill>
            <a:srgbClr val="9F72CC"/>
          </a:solidFill>
          <a:ln>
            <a:noFill/>
          </a:ln>
          <a:effectLst/>
        </c:spPr>
      </c:pivotFmt>
      <c:pivotFmt>
        <c:idx val="3"/>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82F81"/>
          </a:solidFill>
          <a:ln>
            <a:noFill/>
          </a:ln>
          <a:effectLst/>
        </c:spPr>
      </c:pivotFmt>
      <c:pivotFmt>
        <c:idx val="5"/>
        <c:spPr>
          <a:solidFill>
            <a:srgbClr val="9F72CC"/>
          </a:solidFill>
          <a:ln>
            <a:noFill/>
          </a:ln>
          <a:effectLst/>
        </c:spPr>
      </c:pivotFmt>
      <c:pivotFmt>
        <c:idx val="6"/>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82F81"/>
          </a:solidFill>
          <a:ln>
            <a:noFill/>
          </a:ln>
          <a:effectLst/>
        </c:spPr>
      </c:pivotFmt>
      <c:pivotFmt>
        <c:idx val="8"/>
        <c:spPr>
          <a:solidFill>
            <a:srgbClr val="9F72CC"/>
          </a:solidFill>
          <a:ln>
            <a:noFill/>
          </a:ln>
          <a:effectLst/>
        </c:spPr>
      </c:pivotFmt>
      <c:pivotFmt>
        <c:idx val="9"/>
        <c:spPr>
          <a:solidFill>
            <a:srgbClr val="C4A8E0"/>
          </a:solidFill>
          <a:ln>
            <a:noFill/>
          </a:ln>
          <a:effectLst/>
        </c:spPr>
      </c:pivotFmt>
      <c:pivotFmt>
        <c:idx val="10"/>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82F81"/>
          </a:solidFill>
          <a:ln>
            <a:noFill/>
          </a:ln>
          <a:effectLst/>
        </c:spPr>
      </c:pivotFmt>
      <c:pivotFmt>
        <c:idx val="12"/>
        <c:spPr>
          <a:solidFill>
            <a:srgbClr val="9F72CC"/>
          </a:solidFill>
          <a:ln>
            <a:noFill/>
          </a:ln>
          <a:effectLst/>
        </c:spPr>
      </c:pivotFmt>
      <c:pivotFmt>
        <c:idx val="13"/>
        <c:spPr>
          <a:solidFill>
            <a:srgbClr val="C4A8E0"/>
          </a:solidFill>
          <a:ln>
            <a:noFill/>
          </a:ln>
          <a:effectLst/>
        </c:spPr>
      </c:pivotFmt>
      <c:pivotFmt>
        <c:idx val="14"/>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82F81"/>
          </a:solidFill>
          <a:ln>
            <a:noFill/>
          </a:ln>
          <a:effectLst/>
        </c:spPr>
      </c:pivotFmt>
      <c:pivotFmt>
        <c:idx val="16"/>
        <c:spPr>
          <a:solidFill>
            <a:srgbClr val="9F72CC"/>
          </a:solidFill>
          <a:ln>
            <a:noFill/>
          </a:ln>
          <a:effectLst/>
        </c:spPr>
      </c:pivotFmt>
      <c:pivotFmt>
        <c:idx val="17"/>
        <c:spPr>
          <a:solidFill>
            <a:srgbClr val="C4A8E0"/>
          </a:solidFill>
          <a:ln>
            <a:noFill/>
          </a:ln>
          <a:effectLst/>
        </c:spPr>
      </c:pivotFmt>
    </c:pivotFmts>
    <c:plotArea>
      <c:layout/>
      <c:barChart>
        <c:barDir val="col"/>
        <c:grouping val="clustered"/>
        <c:varyColors val="0"/>
        <c:ser>
          <c:idx val="0"/>
          <c:order val="0"/>
          <c:tx>
            <c:strRef>
              <c:f>'Discount &amp; Profit (Done)'!$B$3</c:f>
              <c:strCache>
                <c:ptCount val="1"/>
                <c:pt idx="0">
                  <c:v>Total</c:v>
                </c:pt>
              </c:strCache>
            </c:strRef>
          </c:tx>
          <c:spPr>
            <a:solidFill>
              <a:srgbClr val="69389A"/>
            </a:solidFill>
            <a:ln>
              <a:noFill/>
            </a:ln>
            <a:effectLst/>
          </c:spPr>
          <c:invertIfNegative val="0"/>
          <c:dPt>
            <c:idx val="0"/>
            <c:invertIfNegative val="0"/>
            <c:bubble3D val="0"/>
            <c:spPr>
              <a:solidFill>
                <a:srgbClr val="582F81"/>
              </a:solidFill>
              <a:ln>
                <a:noFill/>
              </a:ln>
              <a:effectLst/>
            </c:spPr>
            <c:extLst>
              <c:ext xmlns:c16="http://schemas.microsoft.com/office/drawing/2014/chart" uri="{C3380CC4-5D6E-409C-BE32-E72D297353CC}">
                <c16:uniqueId val="{00000001-76BA-4113-8F93-932CAC1FAAC4}"/>
              </c:ext>
            </c:extLst>
          </c:dPt>
          <c:dPt>
            <c:idx val="2"/>
            <c:invertIfNegative val="0"/>
            <c:bubble3D val="0"/>
            <c:spPr>
              <a:solidFill>
                <a:srgbClr val="9F72CC"/>
              </a:solidFill>
              <a:ln>
                <a:noFill/>
              </a:ln>
              <a:effectLst/>
            </c:spPr>
            <c:extLst>
              <c:ext xmlns:c16="http://schemas.microsoft.com/office/drawing/2014/chart" uri="{C3380CC4-5D6E-409C-BE32-E72D297353CC}">
                <c16:uniqueId val="{00000003-76BA-4113-8F93-932CAC1FAAC4}"/>
              </c:ext>
            </c:extLst>
          </c:dPt>
          <c:dPt>
            <c:idx val="3"/>
            <c:invertIfNegative val="0"/>
            <c:bubble3D val="0"/>
            <c:spPr>
              <a:solidFill>
                <a:srgbClr val="C4A8E0"/>
              </a:solidFill>
              <a:ln>
                <a:noFill/>
              </a:ln>
              <a:effectLst/>
            </c:spPr>
            <c:extLst>
              <c:ext xmlns:c16="http://schemas.microsoft.com/office/drawing/2014/chart" uri="{C3380CC4-5D6E-409C-BE32-E72D297353CC}">
                <c16:uniqueId val="{00000005-76BA-4113-8F93-932CAC1FAA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&amp; Profit (Done)'!$A$4:$A$8</c:f>
              <c:strCache>
                <c:ptCount val="4"/>
                <c:pt idx="0">
                  <c:v>Low</c:v>
                </c:pt>
                <c:pt idx="1">
                  <c:v>Medium</c:v>
                </c:pt>
                <c:pt idx="2">
                  <c:v>High</c:v>
                </c:pt>
                <c:pt idx="3">
                  <c:v>None</c:v>
                </c:pt>
              </c:strCache>
            </c:strRef>
          </c:cat>
          <c:val>
            <c:numRef>
              <c:f>'Discount &amp; Profit (Done)'!$B$4:$B$8</c:f>
              <c:numCache>
                <c:formatCode>_("$"* #,##0_);_("$"* \(#,##0\);_("$"* "-"??_);_(@_)</c:formatCode>
                <c:ptCount val="4"/>
                <c:pt idx="0">
                  <c:v>6410928.700000002</c:v>
                </c:pt>
                <c:pt idx="1">
                  <c:v>5579522.8349999972</c:v>
                </c:pt>
                <c:pt idx="2">
                  <c:v>3388866.7250000001</c:v>
                </c:pt>
                <c:pt idx="3">
                  <c:v>1757107</c:v>
                </c:pt>
              </c:numCache>
            </c:numRef>
          </c:val>
          <c:extLst>
            <c:ext xmlns:c16="http://schemas.microsoft.com/office/drawing/2014/chart" uri="{C3380CC4-5D6E-409C-BE32-E72D297353CC}">
              <c16:uniqueId val="{00000006-76BA-4113-8F93-932CAC1FAAC4}"/>
            </c:ext>
          </c:extLst>
        </c:ser>
        <c:dLbls>
          <c:dLblPos val="outEnd"/>
          <c:showLegendKey val="0"/>
          <c:showVal val="1"/>
          <c:showCatName val="0"/>
          <c:showSerName val="0"/>
          <c:showPercent val="0"/>
          <c:showBubbleSize val="0"/>
        </c:dLbls>
        <c:gapWidth val="219"/>
        <c:axId val="521685872"/>
        <c:axId val="3306400"/>
      </c:barChart>
      <c:catAx>
        <c:axId val="521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3306400"/>
        <c:crosses val="autoZero"/>
        <c:auto val="1"/>
        <c:lblAlgn val="ctr"/>
        <c:lblOffset val="100"/>
        <c:noMultiLvlLbl val="0"/>
      </c:catAx>
      <c:valAx>
        <c:axId val="3306400"/>
        <c:scaling>
          <c:orientation val="minMax"/>
        </c:scaling>
        <c:delete val="0"/>
        <c:axPos val="l"/>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521685872"/>
        <c:crosses val="autoZero"/>
        <c:crossBetween val="between"/>
      </c:valAx>
      <c:spPr>
        <a:solidFill>
          <a:srgbClr val="F3EDF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Project.xlsx]Sales Over Time (DONE)!SalesOverTime</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2000" b="1">
                <a:solidFill>
                  <a:srgbClr val="2F1943"/>
                </a:solidFill>
              </a:rPr>
              <a:t>Monthly Sales &amp; Profit Trend</a:t>
            </a:r>
          </a:p>
        </c:rich>
      </c:tx>
      <c:layout>
        <c:manualLayout>
          <c:xMode val="edge"/>
          <c:yMode val="edge"/>
          <c:x val="0.36815546418417472"/>
          <c:y val="2.699672514423628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rgbClr val="69389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rgbClr val="CC009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66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66006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E600E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 (DONE)'!$C$3</c:f>
              <c:strCache>
                <c:ptCount val="1"/>
                <c:pt idx="0">
                  <c:v>Sum of Sales</c:v>
                </c:pt>
              </c:strCache>
            </c:strRef>
          </c:tx>
          <c:spPr>
            <a:ln w="28575" cap="rnd">
              <a:solidFill>
                <a:srgbClr val="69389A"/>
              </a:solidFill>
              <a:round/>
            </a:ln>
            <a:effectLst/>
          </c:spPr>
          <c:marker>
            <c:symbol val="none"/>
          </c:marker>
          <c:cat>
            <c:multiLvlStrRef>
              <c:f>'Sales Over Time (DONE)'!$A$4:$B$20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'Sales Over Time (DONE)'!$C$4:$C$20</c:f>
              <c:numCache>
                <c:formatCode>_([$$-409]* #,##0_);_([$$-409]* \(#,##0\);_([$$-409]* "-"??_);_(@_)</c:formatCode>
                <c:ptCount val="16"/>
                <c:pt idx="0">
                  <c:v>5225906.0300000012</c:v>
                </c:pt>
                <c:pt idx="1">
                  <c:v>9295611.0999999959</c:v>
                </c:pt>
                <c:pt idx="2">
                  <c:v>7267203.2999999998</c:v>
                </c:pt>
                <c:pt idx="3">
                  <c:v>5368441.08</c:v>
                </c:pt>
                <c:pt idx="4">
                  <c:v>6607761.6800000006</c:v>
                </c:pt>
                <c:pt idx="5">
                  <c:v>7297531.3900000006</c:v>
                </c:pt>
                <c:pt idx="6">
                  <c:v>6006124.8699999992</c:v>
                </c:pt>
                <c:pt idx="7">
                  <c:v>6988211.0700000003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12008012.900000002</c:v>
                </c:pt>
              </c:numCache>
            </c:numRef>
          </c:val>
          <c:smooth val="0"/>
          <c:extLst>
            <c:ext xmlns:c16="http://schemas.microsoft.com/office/drawing/2014/chart" uri="{C3380CC4-5D6E-409C-BE32-E72D297353CC}">
              <c16:uniqueId val="{00000000-C24E-4A30-B5CC-32033249540F}"/>
            </c:ext>
          </c:extLst>
        </c:ser>
        <c:ser>
          <c:idx val="1"/>
          <c:order val="1"/>
          <c:tx>
            <c:strRef>
              <c:f>'Sales Over Time (DONE)'!$D$3</c:f>
              <c:strCache>
                <c:ptCount val="1"/>
                <c:pt idx="0">
                  <c:v>Sum of Profit</c:v>
                </c:pt>
              </c:strCache>
            </c:strRef>
          </c:tx>
          <c:spPr>
            <a:ln w="28575" cap="rnd">
              <a:solidFill>
                <a:srgbClr val="E600E6"/>
              </a:solidFill>
              <a:round/>
            </a:ln>
            <a:effectLst/>
          </c:spPr>
          <c:marker>
            <c:symbol val="none"/>
          </c:marker>
          <c:cat>
            <c:multiLvlStrRef>
              <c:f>'Sales Over Time (DONE)'!$A$4:$B$20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'Sales Over Time (DONE)'!$D$4:$D$20</c:f>
              <c:numCache>
                <c:formatCode>_([$$-409]* #,##0_);_([$$-409]* \(#,##0\);_([$$-409]* "-"??_);_(@_)</c:formatCode>
                <c:ptCount val="16"/>
                <c:pt idx="0">
                  <c:v>881009.03000000014</c:v>
                </c:pt>
                <c:pt idx="1">
                  <c:v>1657795.0999999999</c:v>
                </c:pt>
                <c:pt idx="2">
                  <c:v>765502.3</c:v>
                </c:pt>
                <c:pt idx="3">
                  <c:v>691564.08000000007</c:v>
                </c:pt>
                <c:pt idx="4">
                  <c:v>814028.67999999993</c:v>
                </c:pt>
                <c:pt idx="5">
                  <c:v>1148547.3899999999</c:v>
                </c:pt>
                <c:pt idx="6">
                  <c:v>774531.87000000011</c:v>
                </c:pt>
                <c:pt idx="7">
                  <c:v>947561.57</c:v>
                </c:pt>
                <c:pt idx="8">
                  <c:v>828640.06</c:v>
                </c:pt>
                <c:pt idx="9">
                  <c:v>1473753.8200000003</c:v>
                </c:pt>
                <c:pt idx="10">
                  <c:v>923865.67999999982</c:v>
                </c:pt>
                <c:pt idx="11">
                  <c:v>791066.41999999993</c:v>
                </c:pt>
                <c:pt idx="12">
                  <c:v>1023132.24</c:v>
                </c:pt>
                <c:pt idx="13">
                  <c:v>1781985.9200000004</c:v>
                </c:pt>
                <c:pt idx="14">
                  <c:v>604600.19999999995</c:v>
                </c:pt>
                <c:pt idx="15">
                  <c:v>2028840.9000000008</c:v>
                </c:pt>
              </c:numCache>
            </c:numRef>
          </c:val>
          <c:smooth val="0"/>
          <c:extLst>
            <c:ext xmlns:c16="http://schemas.microsoft.com/office/drawing/2014/chart" uri="{C3380CC4-5D6E-409C-BE32-E72D297353CC}">
              <c16:uniqueId val="{00000001-C24E-4A30-B5CC-32033249540F}"/>
            </c:ext>
          </c:extLst>
        </c:ser>
        <c:dLbls>
          <c:showLegendKey val="0"/>
          <c:showVal val="0"/>
          <c:showCatName val="0"/>
          <c:showSerName val="0"/>
          <c:showPercent val="0"/>
          <c:showBubbleSize val="0"/>
        </c:dLbls>
        <c:smooth val="0"/>
        <c:axId val="1219708880"/>
        <c:axId val="999607488"/>
      </c:lineChart>
      <c:catAx>
        <c:axId val="1219708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999607488"/>
        <c:crosses val="autoZero"/>
        <c:auto val="1"/>
        <c:lblAlgn val="ctr"/>
        <c:lblOffset val="100"/>
        <c:noMultiLvlLbl val="0"/>
      </c:catAx>
      <c:valAx>
        <c:axId val="999607488"/>
        <c:scaling>
          <c:orientation val="minMax"/>
        </c:scaling>
        <c:delete val="0"/>
        <c:axPos val="l"/>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219708880"/>
        <c:crosses val="autoZero"/>
        <c:crossBetween val="between"/>
      </c:valAx>
      <c:spPr>
        <a:solidFill>
          <a:srgbClr val="F3EDF9"/>
        </a:solidFill>
        <a:ln>
          <a:noFill/>
        </a:ln>
        <a:effectLst/>
      </c:spPr>
    </c:plotArea>
    <c:plotVisOnly val="1"/>
    <c:dispBlanksAs val="gap"/>
    <c:showDLblsOverMax val="0"/>
    <c:extLst/>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Project.xlsx]Sales by Product!PivotTable1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2F1943"/>
                </a:solidFill>
              </a:rPr>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2769"/>
          </a:solidFill>
          <a:ln>
            <a:noFill/>
          </a:ln>
          <a:effectLst/>
        </c:spPr>
      </c:pivotFmt>
      <c:pivotFmt>
        <c:idx val="4"/>
        <c:spPr>
          <a:solidFill>
            <a:srgbClr val="683799"/>
          </a:solidFill>
          <a:ln>
            <a:noFill/>
          </a:ln>
          <a:effectLst/>
        </c:spPr>
      </c:pivotFmt>
      <c:pivotFmt>
        <c:idx val="5"/>
        <c:spPr>
          <a:solidFill>
            <a:srgbClr val="8044BC"/>
          </a:solidFill>
          <a:ln>
            <a:noFill/>
          </a:ln>
          <a:effectLst/>
        </c:spPr>
      </c:pivotFmt>
      <c:pivotFmt>
        <c:idx val="6"/>
        <c:spPr>
          <a:solidFill>
            <a:srgbClr val="9766C8"/>
          </a:solidFill>
          <a:ln>
            <a:noFill/>
          </a:ln>
          <a:effectLst/>
        </c:spPr>
      </c:pivotFmt>
      <c:pivotFmt>
        <c:idx val="7"/>
        <c:spPr>
          <a:solidFill>
            <a:srgbClr val="B693D9"/>
          </a:solidFill>
          <a:ln>
            <a:noFill/>
          </a:ln>
          <a:effectLst/>
        </c:spPr>
      </c:pivotFmt>
      <c:pivotFmt>
        <c:idx val="8"/>
        <c:spPr>
          <a:solidFill>
            <a:srgbClr val="C4A8E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4A8E0"/>
          </a:solidFill>
          <a:ln>
            <a:noFill/>
          </a:ln>
          <a:effectLst/>
        </c:spPr>
      </c:pivotFmt>
      <c:pivotFmt>
        <c:idx val="11"/>
        <c:spPr>
          <a:solidFill>
            <a:srgbClr val="B693D9"/>
          </a:solidFill>
          <a:ln>
            <a:noFill/>
          </a:ln>
          <a:effectLst/>
        </c:spPr>
      </c:pivotFmt>
      <c:pivotFmt>
        <c:idx val="12"/>
        <c:spPr>
          <a:solidFill>
            <a:srgbClr val="9766C8"/>
          </a:solidFill>
          <a:ln>
            <a:noFill/>
          </a:ln>
          <a:effectLst/>
        </c:spPr>
      </c:pivotFmt>
      <c:pivotFmt>
        <c:idx val="13"/>
        <c:spPr>
          <a:solidFill>
            <a:srgbClr val="8044BC"/>
          </a:solidFill>
          <a:ln>
            <a:noFill/>
          </a:ln>
          <a:effectLst/>
        </c:spPr>
      </c:pivotFmt>
      <c:pivotFmt>
        <c:idx val="14"/>
        <c:spPr>
          <a:solidFill>
            <a:srgbClr val="683799"/>
          </a:solidFill>
          <a:ln>
            <a:noFill/>
          </a:ln>
          <a:effectLst/>
        </c:spPr>
      </c:pivotFmt>
      <c:pivotFmt>
        <c:idx val="15"/>
        <c:spPr>
          <a:solidFill>
            <a:srgbClr val="492769"/>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4A8E0"/>
          </a:solidFill>
          <a:ln>
            <a:noFill/>
          </a:ln>
          <a:effectLst/>
        </c:spPr>
      </c:pivotFmt>
      <c:pivotFmt>
        <c:idx val="18"/>
        <c:spPr>
          <a:solidFill>
            <a:srgbClr val="B693D9"/>
          </a:solidFill>
          <a:ln>
            <a:noFill/>
          </a:ln>
          <a:effectLst/>
        </c:spPr>
      </c:pivotFmt>
      <c:pivotFmt>
        <c:idx val="19"/>
        <c:spPr>
          <a:solidFill>
            <a:srgbClr val="9766C8"/>
          </a:solidFill>
          <a:ln>
            <a:noFill/>
          </a:ln>
          <a:effectLst/>
        </c:spPr>
      </c:pivotFmt>
      <c:pivotFmt>
        <c:idx val="20"/>
        <c:spPr>
          <a:solidFill>
            <a:srgbClr val="8044BC"/>
          </a:solidFill>
          <a:ln>
            <a:noFill/>
          </a:ln>
          <a:effectLst/>
        </c:spPr>
      </c:pivotFmt>
      <c:pivotFmt>
        <c:idx val="21"/>
        <c:spPr>
          <a:solidFill>
            <a:srgbClr val="683799"/>
          </a:solidFill>
          <a:ln>
            <a:noFill/>
          </a:ln>
          <a:effectLst/>
        </c:spPr>
      </c:pivotFmt>
      <c:pivotFmt>
        <c:idx val="22"/>
        <c:spPr>
          <a:solidFill>
            <a:srgbClr val="492769"/>
          </a:solidFill>
          <a:ln>
            <a:noFill/>
          </a:ln>
          <a:effectLst/>
        </c:spPr>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1-1B7B-4276-B1EE-A408E0B45C0C}"/>
              </c:ext>
            </c:extLst>
          </c:dPt>
          <c:dPt>
            <c:idx val="1"/>
            <c:invertIfNegative val="0"/>
            <c:bubble3D val="0"/>
            <c:spPr>
              <a:solidFill>
                <a:srgbClr val="B693D9"/>
              </a:solidFill>
              <a:ln>
                <a:noFill/>
              </a:ln>
              <a:effectLst/>
            </c:spPr>
            <c:extLst>
              <c:ext xmlns:c16="http://schemas.microsoft.com/office/drawing/2014/chart" uri="{C3380CC4-5D6E-409C-BE32-E72D297353CC}">
                <c16:uniqueId val="{00000003-1B7B-4276-B1EE-A408E0B45C0C}"/>
              </c:ext>
            </c:extLst>
          </c:dPt>
          <c:dPt>
            <c:idx val="2"/>
            <c:invertIfNegative val="0"/>
            <c:bubble3D val="0"/>
            <c:spPr>
              <a:solidFill>
                <a:srgbClr val="9766C8"/>
              </a:solidFill>
              <a:ln>
                <a:noFill/>
              </a:ln>
              <a:effectLst/>
            </c:spPr>
            <c:extLst>
              <c:ext xmlns:c16="http://schemas.microsoft.com/office/drawing/2014/chart" uri="{C3380CC4-5D6E-409C-BE32-E72D297353CC}">
                <c16:uniqueId val="{00000005-1B7B-4276-B1EE-A408E0B45C0C}"/>
              </c:ext>
            </c:extLst>
          </c:dPt>
          <c:dPt>
            <c:idx val="3"/>
            <c:invertIfNegative val="0"/>
            <c:bubble3D val="0"/>
            <c:spPr>
              <a:solidFill>
                <a:srgbClr val="8044BC"/>
              </a:solidFill>
              <a:ln>
                <a:noFill/>
              </a:ln>
              <a:effectLst/>
            </c:spPr>
            <c:extLst>
              <c:ext xmlns:c16="http://schemas.microsoft.com/office/drawing/2014/chart" uri="{C3380CC4-5D6E-409C-BE32-E72D297353CC}">
                <c16:uniqueId val="{00000007-1B7B-4276-B1EE-A408E0B45C0C}"/>
              </c:ext>
            </c:extLst>
          </c:dPt>
          <c:dPt>
            <c:idx val="4"/>
            <c:invertIfNegative val="0"/>
            <c:bubble3D val="0"/>
            <c:spPr>
              <a:solidFill>
                <a:srgbClr val="683799"/>
              </a:solidFill>
              <a:ln>
                <a:noFill/>
              </a:ln>
              <a:effectLst/>
            </c:spPr>
            <c:extLst>
              <c:ext xmlns:c16="http://schemas.microsoft.com/office/drawing/2014/chart" uri="{C3380CC4-5D6E-409C-BE32-E72D297353CC}">
                <c16:uniqueId val="{00000009-1B7B-4276-B1EE-A408E0B45C0C}"/>
              </c:ext>
            </c:extLst>
          </c:dPt>
          <c:dPt>
            <c:idx val="5"/>
            <c:invertIfNegative val="0"/>
            <c:bubble3D val="0"/>
            <c:spPr>
              <a:solidFill>
                <a:srgbClr val="492769"/>
              </a:solidFill>
              <a:ln>
                <a:noFill/>
              </a:ln>
              <a:effectLst/>
            </c:spPr>
            <c:extLst>
              <c:ext xmlns:c16="http://schemas.microsoft.com/office/drawing/2014/chart" uri="{C3380CC4-5D6E-409C-BE32-E72D297353CC}">
                <c16:uniqueId val="{0000000B-1B7B-4276-B1EE-A408E0B45C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Product'!$A$4:$A$10</c:f>
              <c:strCache>
                <c:ptCount val="6"/>
                <c:pt idx="0">
                  <c:v>Carretera</c:v>
                </c:pt>
                <c:pt idx="1">
                  <c:v>Montana</c:v>
                </c:pt>
                <c:pt idx="2">
                  <c:v>Amarilla</c:v>
                </c:pt>
                <c:pt idx="3">
                  <c:v>Velo</c:v>
                </c:pt>
                <c:pt idx="4">
                  <c:v>VTT</c:v>
                </c:pt>
                <c:pt idx="5">
                  <c:v>Paseo</c:v>
                </c:pt>
              </c:strCache>
            </c:strRef>
          </c:cat>
          <c:val>
            <c:numRef>
              <c:f>'Sales by Product'!$B$4:$B$10</c:f>
              <c:numCache>
                <c:formatCode>_([$$-409]* #,##0_);_([$$-409]* \(#,##0\);_([$$-409]* "-"??_);_(@_)</c:formatCode>
                <c:ptCount val="6"/>
                <c:pt idx="0">
                  <c:v>14234572.885000004</c:v>
                </c:pt>
                <c:pt idx="1">
                  <c:v>16132707.879999999</c:v>
                </c:pt>
                <c:pt idx="2">
                  <c:v>17779777.059999999</c:v>
                </c:pt>
                <c:pt idx="3">
                  <c:v>18250059.465</c:v>
                </c:pt>
                <c:pt idx="4">
                  <c:v>20511921.02</c:v>
                </c:pt>
                <c:pt idx="5">
                  <c:v>33011143.95000001</c:v>
                </c:pt>
              </c:numCache>
            </c:numRef>
          </c:val>
          <c:extLst>
            <c:ext xmlns:c16="http://schemas.microsoft.com/office/drawing/2014/chart" uri="{C3380CC4-5D6E-409C-BE32-E72D297353CC}">
              <c16:uniqueId val="{0000000C-1B7B-4276-B1EE-A408E0B45C0C}"/>
            </c:ext>
          </c:extLst>
        </c:ser>
        <c:dLbls>
          <c:dLblPos val="outEnd"/>
          <c:showLegendKey val="0"/>
          <c:showVal val="1"/>
          <c:showCatName val="0"/>
          <c:showSerName val="0"/>
          <c:showPercent val="0"/>
          <c:showBubbleSize val="0"/>
        </c:dLbls>
        <c:gapWidth val="182"/>
        <c:axId val="1047071903"/>
        <c:axId val="930767007"/>
      </c:barChart>
      <c:catAx>
        <c:axId val="10470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930767007"/>
        <c:crosses val="autoZero"/>
        <c:auto val="1"/>
        <c:lblAlgn val="ctr"/>
        <c:lblOffset val="100"/>
        <c:noMultiLvlLbl val="0"/>
      </c:catAx>
      <c:valAx>
        <c:axId val="930767007"/>
        <c:scaling>
          <c:orientation val="minMax"/>
        </c:scaling>
        <c:delete val="0"/>
        <c:axPos val="b"/>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04707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Product!PivotTable32</c:name>
    <c:fmtId val="6"/>
  </c:pivotSource>
  <c:chart>
    <c:title>
      <c:tx>
        <c:rich>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r>
              <a:rPr lang="en-US">
                <a:solidFill>
                  <a:srgbClr val="2F1943"/>
                </a:solidFill>
              </a:rPr>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F194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2769"/>
          </a:solidFill>
          <a:ln>
            <a:noFill/>
          </a:ln>
          <a:effectLst/>
        </c:spPr>
      </c:pivotFmt>
      <c:pivotFmt>
        <c:idx val="4"/>
        <c:spPr>
          <a:solidFill>
            <a:srgbClr val="683799"/>
          </a:solidFill>
          <a:ln>
            <a:noFill/>
          </a:ln>
          <a:effectLst/>
        </c:spPr>
      </c:pivotFmt>
      <c:pivotFmt>
        <c:idx val="5"/>
        <c:spPr>
          <a:solidFill>
            <a:srgbClr val="8044BC"/>
          </a:solidFill>
          <a:ln>
            <a:noFill/>
          </a:ln>
          <a:effectLst/>
        </c:spPr>
      </c:pivotFmt>
      <c:pivotFmt>
        <c:idx val="6"/>
        <c:spPr>
          <a:solidFill>
            <a:srgbClr val="9766C8"/>
          </a:solidFill>
          <a:ln>
            <a:noFill/>
          </a:ln>
          <a:effectLst/>
        </c:spPr>
      </c:pivotFmt>
      <c:pivotFmt>
        <c:idx val="7"/>
        <c:spPr>
          <a:solidFill>
            <a:srgbClr val="B693D9"/>
          </a:solidFill>
          <a:ln>
            <a:noFill/>
          </a:ln>
          <a:effectLst/>
        </c:spPr>
      </c:pivotFmt>
      <c:pivotFmt>
        <c:idx val="8"/>
        <c:spPr>
          <a:solidFill>
            <a:srgbClr val="C4A8E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76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4A8E0"/>
          </a:solidFill>
          <a:ln>
            <a:noFill/>
          </a:ln>
          <a:effectLst/>
        </c:spPr>
      </c:pivotFmt>
      <c:pivotFmt>
        <c:idx val="11"/>
        <c:spPr>
          <a:solidFill>
            <a:srgbClr val="B693D9"/>
          </a:solidFill>
          <a:ln>
            <a:noFill/>
          </a:ln>
          <a:effectLst/>
        </c:spPr>
      </c:pivotFmt>
      <c:pivotFmt>
        <c:idx val="12"/>
        <c:spPr>
          <a:solidFill>
            <a:srgbClr val="9766C8"/>
          </a:solidFill>
          <a:ln>
            <a:noFill/>
          </a:ln>
          <a:effectLst/>
        </c:spPr>
      </c:pivotFmt>
      <c:pivotFmt>
        <c:idx val="13"/>
        <c:spPr>
          <a:solidFill>
            <a:srgbClr val="8044BC"/>
          </a:solidFill>
          <a:ln>
            <a:noFill/>
          </a:ln>
          <a:effectLst/>
        </c:spPr>
      </c:pivotFmt>
      <c:pivotFmt>
        <c:idx val="14"/>
        <c:spPr>
          <a:solidFill>
            <a:srgbClr val="683799"/>
          </a:solidFill>
          <a:ln>
            <a:noFill/>
          </a:ln>
          <a:effectLst/>
        </c:spPr>
      </c:pivotFmt>
      <c:pivotFmt>
        <c:idx val="15"/>
        <c:spPr>
          <a:solidFill>
            <a:srgbClr val="492769"/>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4A8E0"/>
          </a:solidFill>
          <a:ln>
            <a:noFill/>
          </a:ln>
          <a:effectLst/>
        </c:spPr>
      </c:pivotFmt>
      <c:pivotFmt>
        <c:idx val="18"/>
        <c:spPr>
          <a:solidFill>
            <a:srgbClr val="B693D9"/>
          </a:solidFill>
          <a:ln>
            <a:noFill/>
          </a:ln>
          <a:effectLst/>
        </c:spPr>
      </c:pivotFmt>
      <c:pivotFmt>
        <c:idx val="19"/>
        <c:spPr>
          <a:solidFill>
            <a:srgbClr val="9766C8"/>
          </a:solidFill>
          <a:ln>
            <a:noFill/>
          </a:ln>
          <a:effectLst/>
        </c:spPr>
      </c:pivotFmt>
      <c:pivotFmt>
        <c:idx val="20"/>
        <c:spPr>
          <a:solidFill>
            <a:srgbClr val="8044BC"/>
          </a:solidFill>
          <a:ln>
            <a:noFill/>
          </a:ln>
          <a:effectLst/>
        </c:spPr>
      </c:pivotFmt>
      <c:pivotFmt>
        <c:idx val="21"/>
        <c:spPr>
          <a:solidFill>
            <a:srgbClr val="683799"/>
          </a:solidFill>
          <a:ln>
            <a:noFill/>
          </a:ln>
          <a:effectLst/>
        </c:spPr>
      </c:pivotFmt>
      <c:pivotFmt>
        <c:idx val="22"/>
        <c:spPr>
          <a:solidFill>
            <a:srgbClr val="492769"/>
          </a:solidFill>
          <a:ln>
            <a:noFill/>
          </a:ln>
          <a:effectLst/>
        </c:spPr>
      </c:pivotFmt>
    </c:pivotFmts>
    <c:plotArea>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1-D500-4FEE-8F34-028F3BADADAC}"/>
              </c:ext>
            </c:extLst>
          </c:dPt>
          <c:dPt>
            <c:idx val="1"/>
            <c:invertIfNegative val="0"/>
            <c:bubble3D val="0"/>
            <c:spPr>
              <a:solidFill>
                <a:srgbClr val="B693D9"/>
              </a:solidFill>
              <a:ln>
                <a:noFill/>
              </a:ln>
              <a:effectLst/>
            </c:spPr>
            <c:extLst>
              <c:ext xmlns:c16="http://schemas.microsoft.com/office/drawing/2014/chart" uri="{C3380CC4-5D6E-409C-BE32-E72D297353CC}">
                <c16:uniqueId val="{00000003-D500-4FEE-8F34-028F3BADADAC}"/>
              </c:ext>
            </c:extLst>
          </c:dPt>
          <c:dPt>
            <c:idx val="2"/>
            <c:invertIfNegative val="0"/>
            <c:bubble3D val="0"/>
            <c:spPr>
              <a:solidFill>
                <a:srgbClr val="9766C8"/>
              </a:solidFill>
              <a:ln>
                <a:noFill/>
              </a:ln>
              <a:effectLst/>
            </c:spPr>
            <c:extLst>
              <c:ext xmlns:c16="http://schemas.microsoft.com/office/drawing/2014/chart" uri="{C3380CC4-5D6E-409C-BE32-E72D297353CC}">
                <c16:uniqueId val="{00000005-D500-4FEE-8F34-028F3BADADAC}"/>
              </c:ext>
            </c:extLst>
          </c:dPt>
          <c:dPt>
            <c:idx val="3"/>
            <c:invertIfNegative val="0"/>
            <c:bubble3D val="0"/>
            <c:spPr>
              <a:solidFill>
                <a:srgbClr val="8044BC"/>
              </a:solidFill>
              <a:ln>
                <a:noFill/>
              </a:ln>
              <a:effectLst/>
            </c:spPr>
            <c:extLst>
              <c:ext xmlns:c16="http://schemas.microsoft.com/office/drawing/2014/chart" uri="{C3380CC4-5D6E-409C-BE32-E72D297353CC}">
                <c16:uniqueId val="{00000007-D500-4FEE-8F34-028F3BADADAC}"/>
              </c:ext>
            </c:extLst>
          </c:dPt>
          <c:dPt>
            <c:idx val="4"/>
            <c:invertIfNegative val="0"/>
            <c:bubble3D val="0"/>
            <c:spPr>
              <a:solidFill>
                <a:srgbClr val="683799"/>
              </a:solidFill>
              <a:ln>
                <a:noFill/>
              </a:ln>
              <a:effectLst/>
            </c:spPr>
            <c:extLst>
              <c:ext xmlns:c16="http://schemas.microsoft.com/office/drawing/2014/chart" uri="{C3380CC4-5D6E-409C-BE32-E72D297353CC}">
                <c16:uniqueId val="{00000009-D500-4FEE-8F34-028F3BADADAC}"/>
              </c:ext>
            </c:extLst>
          </c:dPt>
          <c:dPt>
            <c:idx val="5"/>
            <c:invertIfNegative val="0"/>
            <c:bubble3D val="0"/>
            <c:spPr>
              <a:solidFill>
                <a:srgbClr val="492769"/>
              </a:solidFill>
              <a:ln>
                <a:noFill/>
              </a:ln>
              <a:effectLst/>
            </c:spPr>
            <c:extLst>
              <c:ext xmlns:c16="http://schemas.microsoft.com/office/drawing/2014/chart" uri="{C3380CC4-5D6E-409C-BE32-E72D297353CC}">
                <c16:uniqueId val="{0000000B-D500-4FEE-8F34-028F3BADAD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194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Product'!$A$4:$A$10</c:f>
              <c:strCache>
                <c:ptCount val="6"/>
                <c:pt idx="0">
                  <c:v>Carretera</c:v>
                </c:pt>
                <c:pt idx="1">
                  <c:v>Montana</c:v>
                </c:pt>
                <c:pt idx="2">
                  <c:v>Velo</c:v>
                </c:pt>
                <c:pt idx="3">
                  <c:v>Amarilla</c:v>
                </c:pt>
                <c:pt idx="4">
                  <c:v>VTT</c:v>
                </c:pt>
                <c:pt idx="5">
                  <c:v>Paseo</c:v>
                </c:pt>
              </c:strCache>
            </c:strRef>
          </c:cat>
          <c:val>
            <c:numRef>
              <c:f>'Profit by Product'!$B$4:$B$10</c:f>
              <c:numCache>
                <c:formatCode>_(* #,##0_);_(* \(#,##0\);_(* "-"??_);_(@_)</c:formatCode>
                <c:ptCount val="6"/>
                <c:pt idx="0">
                  <c:v>1931469.8849999998</c:v>
                </c:pt>
                <c:pt idx="1">
                  <c:v>2232160.88</c:v>
                </c:pt>
                <c:pt idx="2">
                  <c:v>2305992.4649999999</c:v>
                </c:pt>
                <c:pt idx="3">
                  <c:v>2834756.06</c:v>
                </c:pt>
                <c:pt idx="4">
                  <c:v>3034608.0200000005</c:v>
                </c:pt>
                <c:pt idx="5">
                  <c:v>4797437.9499999993</c:v>
                </c:pt>
              </c:numCache>
            </c:numRef>
          </c:val>
          <c:extLst>
            <c:ext xmlns:c16="http://schemas.microsoft.com/office/drawing/2014/chart" uri="{C3380CC4-5D6E-409C-BE32-E72D297353CC}">
              <c16:uniqueId val="{0000000C-D500-4FEE-8F34-028F3BADADAC}"/>
            </c:ext>
          </c:extLst>
        </c:ser>
        <c:dLbls>
          <c:dLblPos val="outEnd"/>
          <c:showLegendKey val="0"/>
          <c:showVal val="1"/>
          <c:showCatName val="0"/>
          <c:showSerName val="0"/>
          <c:showPercent val="0"/>
          <c:showBubbleSize val="0"/>
        </c:dLbls>
        <c:gapWidth val="182"/>
        <c:axId val="1340233712"/>
        <c:axId val="1128646416"/>
      </c:barChart>
      <c:catAx>
        <c:axId val="13402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128646416"/>
        <c:crosses val="autoZero"/>
        <c:auto val="1"/>
        <c:lblAlgn val="ctr"/>
        <c:lblOffset val="100"/>
        <c:noMultiLvlLbl val="0"/>
      </c:catAx>
      <c:valAx>
        <c:axId val="1128646416"/>
        <c:scaling>
          <c:orientation val="minMax"/>
        </c:scaling>
        <c:delete val="0"/>
        <c:axPos val="b"/>
        <c:majorGridlines>
          <c:spPr>
            <a:ln w="9525" cap="flat" cmpd="sng" algn="ctr">
              <a:solidFill>
                <a:schemeClr val="bg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F1943"/>
                </a:solidFill>
                <a:latin typeface="+mn-lt"/>
                <a:ea typeface="+mn-ea"/>
                <a:cs typeface="+mn-cs"/>
              </a:defRPr>
            </a:pPr>
            <a:endParaRPr lang="en-US"/>
          </a:p>
        </c:txPr>
        <c:crossAx val="134023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D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DATASET!#REF!</c:f>
            </c:numRef>
          </c:xVal>
          <c:yVal>
            <c:numRef>
              <c:f>DATASET!#REF!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DATASET!#REF!</c15:sqref>
                        </c15:formulaRef>
                      </c:ext>
                    </c:extLst>
                    <c:strCache>
                      <c:ptCount val="1"/>
                      <c:pt idx="0">
                        <c:v>#REF!</c:v>
                      </c:pt>
                    </c:strCache>
                  </c:strRef>
                </c15:tx>
              </c15:filteredSeriesTitle>
            </c:ext>
            <c:ext xmlns:c16="http://schemas.microsoft.com/office/drawing/2014/chart" uri="{C3380CC4-5D6E-409C-BE32-E72D297353CC}">
              <c16:uniqueId val="{00000000-669B-4DFB-9F4D-E941F0B8C31C}"/>
            </c:ext>
          </c:extLst>
        </c:ser>
        <c:dLbls>
          <c:showLegendKey val="0"/>
          <c:showVal val="0"/>
          <c:showCatName val="0"/>
          <c:showSerName val="0"/>
          <c:showPercent val="0"/>
          <c:showBubbleSize val="0"/>
        </c:dLbls>
        <c:axId val="1061184224"/>
        <c:axId val="1123291680"/>
      </c:scatterChart>
      <c:valAx>
        <c:axId val="10611842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91680"/>
        <c:crosses val="autoZero"/>
        <c:crossBetween val="midCat"/>
      </c:valAx>
      <c:valAx>
        <c:axId val="112329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1842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Project.xlsx]Sales Over Time (DONE)!SalesOverTime</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100" b="1">
                <a:solidFill>
                  <a:srgbClr val="2D1E64"/>
                </a:solidFill>
              </a:rPr>
              <a:t>Monthly Sales &amp; Profit Trend</a:t>
            </a:r>
          </a:p>
        </c:rich>
      </c:tx>
      <c:layout>
        <c:manualLayout>
          <c:xMode val="edge"/>
          <c:yMode val="edge"/>
          <c:x val="6.2874787710359738E-3"/>
          <c:y val="2.699662542182227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6938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C00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 (DONE)'!$C$3</c:f>
              <c:strCache>
                <c:ptCount val="1"/>
                <c:pt idx="0">
                  <c:v>Sum of Sales</c:v>
                </c:pt>
              </c:strCache>
            </c:strRef>
          </c:tx>
          <c:spPr>
            <a:ln w="28575" cap="rnd">
              <a:solidFill>
                <a:srgbClr val="69389A"/>
              </a:solidFill>
              <a:round/>
            </a:ln>
            <a:effectLst/>
          </c:spPr>
          <c:marker>
            <c:symbol val="none"/>
          </c:marker>
          <c:cat>
            <c:multiLvlStrRef>
              <c:f>'Sales Over Time (DONE)'!$A$4:$B$20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'Sales Over Time (DONE)'!$C$4:$C$20</c:f>
              <c:numCache>
                <c:formatCode>_([$$-409]* #,##0_);_([$$-409]* \(#,##0\);_([$$-409]* "-"??_);_(@_)</c:formatCode>
                <c:ptCount val="16"/>
                <c:pt idx="0">
                  <c:v>5225906.0300000012</c:v>
                </c:pt>
                <c:pt idx="1">
                  <c:v>9295611.0999999959</c:v>
                </c:pt>
                <c:pt idx="2">
                  <c:v>7267203.2999999998</c:v>
                </c:pt>
                <c:pt idx="3">
                  <c:v>5368441.08</c:v>
                </c:pt>
                <c:pt idx="4">
                  <c:v>6607761.6800000006</c:v>
                </c:pt>
                <c:pt idx="5">
                  <c:v>7297531.3900000006</c:v>
                </c:pt>
                <c:pt idx="6">
                  <c:v>6006124.8699999992</c:v>
                </c:pt>
                <c:pt idx="7">
                  <c:v>6988211.0700000003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12008012.900000002</c:v>
                </c:pt>
              </c:numCache>
            </c:numRef>
          </c:val>
          <c:smooth val="0"/>
          <c:extLst>
            <c:ext xmlns:c16="http://schemas.microsoft.com/office/drawing/2014/chart" uri="{C3380CC4-5D6E-409C-BE32-E72D297353CC}">
              <c16:uniqueId val="{00000001-A791-4E75-A9A4-E8CF2FF73A85}"/>
            </c:ext>
          </c:extLst>
        </c:ser>
        <c:ser>
          <c:idx val="1"/>
          <c:order val="1"/>
          <c:tx>
            <c:strRef>
              <c:f>'Sales Over Time (DONE)'!$D$3</c:f>
              <c:strCache>
                <c:ptCount val="1"/>
                <c:pt idx="0">
                  <c:v>Sum of Profit</c:v>
                </c:pt>
              </c:strCache>
            </c:strRef>
          </c:tx>
          <c:spPr>
            <a:ln w="28575" cap="rnd">
              <a:solidFill>
                <a:srgbClr val="CC0099"/>
              </a:solidFill>
              <a:round/>
            </a:ln>
            <a:effectLst/>
          </c:spPr>
          <c:marker>
            <c:symbol val="none"/>
          </c:marker>
          <c:cat>
            <c:multiLvlStrRef>
              <c:f>'Sales Over Time (DONE)'!$A$4:$B$20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'Sales Over Time (DONE)'!$D$4:$D$20</c:f>
              <c:numCache>
                <c:formatCode>_([$$-409]* #,##0_);_([$$-409]* \(#,##0\);_([$$-409]* "-"??_);_(@_)</c:formatCode>
                <c:ptCount val="16"/>
                <c:pt idx="0">
                  <c:v>881009.03000000014</c:v>
                </c:pt>
                <c:pt idx="1">
                  <c:v>1657795.0999999999</c:v>
                </c:pt>
                <c:pt idx="2">
                  <c:v>765502.3</c:v>
                </c:pt>
                <c:pt idx="3">
                  <c:v>691564.08000000007</c:v>
                </c:pt>
                <c:pt idx="4">
                  <c:v>814028.67999999993</c:v>
                </c:pt>
                <c:pt idx="5">
                  <c:v>1148547.3899999999</c:v>
                </c:pt>
                <c:pt idx="6">
                  <c:v>774531.87000000011</c:v>
                </c:pt>
                <c:pt idx="7">
                  <c:v>947561.57</c:v>
                </c:pt>
                <c:pt idx="8">
                  <c:v>828640.06</c:v>
                </c:pt>
                <c:pt idx="9">
                  <c:v>1473753.8200000003</c:v>
                </c:pt>
                <c:pt idx="10">
                  <c:v>923865.67999999982</c:v>
                </c:pt>
                <c:pt idx="11">
                  <c:v>791066.41999999993</c:v>
                </c:pt>
                <c:pt idx="12">
                  <c:v>1023132.24</c:v>
                </c:pt>
                <c:pt idx="13">
                  <c:v>1781985.9200000004</c:v>
                </c:pt>
                <c:pt idx="14">
                  <c:v>604600.19999999995</c:v>
                </c:pt>
                <c:pt idx="15">
                  <c:v>2028840.9000000008</c:v>
                </c:pt>
              </c:numCache>
            </c:numRef>
          </c:val>
          <c:smooth val="0"/>
          <c:extLst>
            <c:ext xmlns:c16="http://schemas.microsoft.com/office/drawing/2014/chart" uri="{C3380CC4-5D6E-409C-BE32-E72D297353CC}">
              <c16:uniqueId val="{00000003-A791-4E75-A9A4-E8CF2FF73A85}"/>
            </c:ext>
          </c:extLst>
        </c:ser>
        <c:dLbls>
          <c:showLegendKey val="0"/>
          <c:showVal val="0"/>
          <c:showCatName val="0"/>
          <c:showSerName val="0"/>
          <c:showPercent val="0"/>
          <c:showBubbleSize val="0"/>
        </c:dLbls>
        <c:smooth val="0"/>
        <c:axId val="1219708880"/>
        <c:axId val="999607488"/>
      </c:lineChart>
      <c:catAx>
        <c:axId val="1219708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2D1E64"/>
                </a:solidFill>
                <a:latin typeface="+mn-lt"/>
                <a:ea typeface="+mn-ea"/>
                <a:cs typeface="+mn-cs"/>
              </a:defRPr>
            </a:pPr>
            <a:endParaRPr lang="en-US"/>
          </a:p>
        </c:txPr>
        <c:crossAx val="999607488"/>
        <c:crosses val="autoZero"/>
        <c:auto val="1"/>
        <c:lblAlgn val="ctr"/>
        <c:lblOffset val="100"/>
        <c:noMultiLvlLbl val="0"/>
      </c:catAx>
      <c:valAx>
        <c:axId val="999607488"/>
        <c:scaling>
          <c:orientation val="minMax"/>
        </c:scaling>
        <c:delete val="0"/>
        <c:axPos val="l"/>
        <c:majorGridlines>
          <c:spPr>
            <a:ln w="9525" cap="flat" cmpd="sng" algn="ctr">
              <a:solidFill>
                <a:srgbClr val="E6DAF2"/>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D1E64"/>
                </a:solidFill>
                <a:latin typeface="+mn-lt"/>
                <a:ea typeface="+mn-ea"/>
                <a:cs typeface="+mn-cs"/>
              </a:defRPr>
            </a:pPr>
            <a:endParaRPr lang="en-US"/>
          </a:p>
        </c:txPr>
        <c:crossAx val="1219708880"/>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Segment (DONE)!Sales by Segment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solidFill>
                  <a:srgbClr val="2D1E64"/>
                </a:solidFill>
              </a:rPr>
              <a:t>Profit by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851BF"/>
          </a:solidFill>
          <a:ln>
            <a:noFill/>
          </a:ln>
          <a:effectLst/>
        </c:spPr>
      </c:pivotFmt>
      <c:pivotFmt>
        <c:idx val="2"/>
        <c:spPr>
          <a:solidFill>
            <a:srgbClr val="A57BCF"/>
          </a:solidFill>
          <a:ln>
            <a:noFill/>
          </a:ln>
          <a:effectLst/>
        </c:spPr>
      </c:pivotFmt>
      <c:pivotFmt>
        <c:idx val="3"/>
        <c:spPr>
          <a:solidFill>
            <a:srgbClr val="BA9ADA"/>
          </a:solidFill>
          <a:ln>
            <a:noFill/>
          </a:ln>
          <a:effectLst/>
        </c:spPr>
      </c:pivotFmt>
      <c:pivotFmt>
        <c:idx val="4"/>
        <c:spPr>
          <a:solidFill>
            <a:srgbClr val="E8DDF3"/>
          </a:solidFill>
          <a:ln>
            <a:noFill/>
          </a:ln>
          <a:effectLst/>
        </c:spPr>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9104477611940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Segment (DONE)'!$B$3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F9F8-408F-A705-40AC82210C32}"/>
              </c:ext>
            </c:extLst>
          </c:dPt>
          <c:dPt>
            <c:idx val="1"/>
            <c:invertIfNegative val="0"/>
            <c:bubble3D val="0"/>
            <c:extLst>
              <c:ext xmlns:c16="http://schemas.microsoft.com/office/drawing/2014/chart" uri="{C3380CC4-5D6E-409C-BE32-E72D297353CC}">
                <c16:uniqueId val="{00000002-F9F8-408F-A705-40AC82210C32}"/>
              </c:ext>
            </c:extLst>
          </c:dPt>
          <c:dPt>
            <c:idx val="2"/>
            <c:invertIfNegative val="0"/>
            <c:bubble3D val="0"/>
            <c:extLst>
              <c:ext xmlns:c16="http://schemas.microsoft.com/office/drawing/2014/chart" uri="{C3380CC4-5D6E-409C-BE32-E72D297353CC}">
                <c16:uniqueId val="{00000001-F9F8-408F-A705-40AC82210C32}"/>
              </c:ext>
            </c:extLst>
          </c:dPt>
          <c:dPt>
            <c:idx val="3"/>
            <c:invertIfNegative val="0"/>
            <c:bubble3D val="0"/>
            <c:extLst>
              <c:ext xmlns:c16="http://schemas.microsoft.com/office/drawing/2014/chart" uri="{C3380CC4-5D6E-409C-BE32-E72D297353CC}">
                <c16:uniqueId val="{00000000-F9F8-408F-A705-40AC82210C3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71B6-408D-8A81-2EFEE92B2655}"/>
              </c:ext>
            </c:extLst>
          </c:dPt>
          <c:dLbls>
            <c:dLbl>
              <c:idx val="4"/>
              <c:layout>
                <c:manualLayout>
                  <c:x val="-0.1791044776119402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B6-408D-8A81-2EFEE92B26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Segment (DONE)'!$A$4:$A$9</c:f>
              <c:strCache>
                <c:ptCount val="5"/>
                <c:pt idx="0">
                  <c:v>Government</c:v>
                </c:pt>
                <c:pt idx="1">
                  <c:v>Small Business</c:v>
                </c:pt>
                <c:pt idx="2">
                  <c:v>Channel Partners</c:v>
                </c:pt>
                <c:pt idx="3">
                  <c:v>Midmarket</c:v>
                </c:pt>
                <c:pt idx="4">
                  <c:v>Enterprise</c:v>
                </c:pt>
              </c:strCache>
            </c:strRef>
          </c:cat>
          <c:val>
            <c:numRef>
              <c:f>'Profit by Segment (DONE)'!$B$4:$B$9</c:f>
              <c:numCache>
                <c:formatCode>_([$$-409]* #,##0_);_([$$-409]* \(#,##0\);_([$$-409]* "-"??_);_(@_)</c:formatCode>
                <c:ptCount val="5"/>
                <c:pt idx="0">
                  <c:v>11492838.169999985</c:v>
                </c:pt>
                <c:pt idx="1">
                  <c:v>4260574.5</c:v>
                </c:pt>
                <c:pt idx="2">
                  <c:v>1334380.1399999999</c:v>
                </c:pt>
                <c:pt idx="3">
                  <c:v>663178.07499999995</c:v>
                </c:pt>
                <c:pt idx="4">
                  <c:v>-614545.625</c:v>
                </c:pt>
              </c:numCache>
            </c:numRef>
          </c:val>
          <c:extLst>
            <c:ext xmlns:c16="http://schemas.microsoft.com/office/drawing/2014/chart" uri="{C3380CC4-5D6E-409C-BE32-E72D297353CC}">
              <c16:uniqueId val="{00000000-05E5-4C2A-81A7-861D195FA016}"/>
            </c:ext>
          </c:extLst>
        </c:ser>
        <c:dLbls>
          <c:dLblPos val="inEnd"/>
          <c:showLegendKey val="0"/>
          <c:showVal val="1"/>
          <c:showCatName val="0"/>
          <c:showSerName val="0"/>
          <c:showPercent val="0"/>
          <c:showBubbleSize val="0"/>
        </c:dLbls>
        <c:gapWidth val="150"/>
        <c:axId val="2092685184"/>
        <c:axId val="2095871904"/>
      </c:barChart>
      <c:catAx>
        <c:axId val="2092685184"/>
        <c:scaling>
          <c:orientation val="minMax"/>
        </c:scaling>
        <c:delete val="0"/>
        <c:axPos val="l"/>
        <c:numFmt formatCode="General" sourceLinked="1"/>
        <c:majorTickMark val="none"/>
        <c:minorTickMark val="none"/>
        <c:tickLblPos val="nextTo"/>
        <c:spPr>
          <a:noFill/>
          <a:ln w="9525" cap="rnd" cmpd="sng" algn="ctr">
            <a:solidFill>
              <a:schemeClr val="bg1"/>
            </a:solidFill>
            <a:round/>
            <a:tailEnd w="sm" len="sm"/>
          </a:ln>
          <a:effectLst/>
        </c:spPr>
        <c:txPr>
          <a:bodyPr rot="-60000000" spcFirstLastPara="1" vertOverflow="ellipsis" vert="horz" wrap="square" anchor="ctr" anchorCtr="1"/>
          <a:lstStyle/>
          <a:p>
            <a:pPr>
              <a:defRPr sz="900" b="0" i="0" u="none" strike="noStrike" kern="1200" baseline="0">
                <a:solidFill>
                  <a:srgbClr val="2D1E64"/>
                </a:solidFill>
                <a:latin typeface="+mn-lt"/>
                <a:ea typeface="+mn-ea"/>
                <a:cs typeface="+mn-cs"/>
              </a:defRPr>
            </a:pPr>
            <a:endParaRPr lang="en-US"/>
          </a:p>
        </c:txPr>
        <c:crossAx val="2095871904"/>
        <c:crosses val="autoZero"/>
        <c:auto val="1"/>
        <c:lblAlgn val="ctr"/>
        <c:lblOffset val="100"/>
        <c:noMultiLvlLbl val="0"/>
      </c:catAx>
      <c:valAx>
        <c:axId val="2095871904"/>
        <c:scaling>
          <c:orientation val="minMax"/>
        </c:scaling>
        <c:delete val="0"/>
        <c:axPos val="b"/>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20926851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Project.xlsx]Unit Sold by Product (DONE)!PivotTable1</c:name>
    <c:fmtId val="3"/>
  </c:pivotSource>
  <c:chart>
    <c:title>
      <c:tx>
        <c:rich>
          <a:bodyPr rot="0" spcFirstLastPara="1" vertOverflow="ellipsis" vert="horz" wrap="square" anchor="ctr" anchorCtr="1"/>
          <a:lstStyle/>
          <a:p>
            <a:pPr>
              <a:defRPr sz="1400" b="0" i="0" u="none" strike="noStrike" kern="1200" spc="0" baseline="0">
                <a:solidFill>
                  <a:srgbClr val="2D1E64"/>
                </a:solidFill>
                <a:latin typeface="+mn-lt"/>
                <a:ea typeface="+mn-ea"/>
                <a:cs typeface="+mn-cs"/>
              </a:defRPr>
            </a:pPr>
            <a:r>
              <a:rPr lang="en-US">
                <a:solidFill>
                  <a:srgbClr val="49276B"/>
                </a:solidFill>
              </a:rPr>
              <a:t>Unit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D1E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9276B"/>
          </a:solidFill>
          <a:ln>
            <a:noFill/>
          </a:ln>
          <a:effectLst/>
        </c:spPr>
      </c:pivotFmt>
      <c:pivotFmt>
        <c:idx val="2"/>
        <c:spPr>
          <a:solidFill>
            <a:srgbClr val="683799"/>
          </a:solidFill>
          <a:ln>
            <a:noFill/>
          </a:ln>
          <a:effectLst/>
        </c:spPr>
      </c:pivotFmt>
      <c:pivotFmt>
        <c:idx val="3"/>
        <c:spPr>
          <a:solidFill>
            <a:srgbClr val="8044BC"/>
          </a:solidFill>
          <a:ln>
            <a:noFill/>
          </a:ln>
          <a:effectLst/>
        </c:spPr>
      </c:pivotFmt>
      <c:pivotFmt>
        <c:idx val="4"/>
        <c:spPr>
          <a:solidFill>
            <a:srgbClr val="9766C8"/>
          </a:solidFill>
          <a:ln>
            <a:noFill/>
          </a:ln>
          <a:effectLst/>
        </c:spPr>
      </c:pivotFmt>
      <c:pivotFmt>
        <c:idx val="5"/>
        <c:spPr>
          <a:solidFill>
            <a:srgbClr val="B693D9"/>
          </a:solidFill>
          <a:ln>
            <a:noFill/>
          </a:ln>
          <a:effectLst/>
        </c:spPr>
      </c:pivotFmt>
      <c:pivotFmt>
        <c:idx val="6"/>
        <c:spPr>
          <a:solidFill>
            <a:srgbClr val="C4A8E0"/>
          </a:solidFill>
          <a:ln>
            <a:noFill/>
          </a:ln>
          <a:effectLst/>
        </c:spPr>
      </c:pivotFmt>
    </c:pivotFmts>
    <c:plotArea>
      <c:layout/>
      <c:barChart>
        <c:barDir val="bar"/>
        <c:grouping val="clustered"/>
        <c:varyColors val="0"/>
        <c:ser>
          <c:idx val="0"/>
          <c:order val="0"/>
          <c:tx>
            <c:strRef>
              <c:f>'Unit Sold by Product (DONE)'!$B$3</c:f>
              <c:strCache>
                <c:ptCount val="1"/>
                <c:pt idx="0">
                  <c:v>Total</c:v>
                </c:pt>
              </c:strCache>
            </c:strRef>
          </c:tx>
          <c:spPr>
            <a:solidFill>
              <a:schemeClr val="accent1"/>
            </a:solidFill>
            <a:ln>
              <a:noFill/>
            </a:ln>
            <a:effectLst/>
          </c:spPr>
          <c:invertIfNegative val="0"/>
          <c:dPt>
            <c:idx val="0"/>
            <c:invertIfNegative val="0"/>
            <c:bubble3D val="0"/>
            <c:spPr>
              <a:solidFill>
                <a:srgbClr val="C4A8E0"/>
              </a:solidFill>
              <a:ln>
                <a:noFill/>
              </a:ln>
              <a:effectLst/>
            </c:spPr>
            <c:extLst>
              <c:ext xmlns:c16="http://schemas.microsoft.com/office/drawing/2014/chart" uri="{C3380CC4-5D6E-409C-BE32-E72D297353CC}">
                <c16:uniqueId val="{00000006-709D-4160-BC11-E73B49B771A3}"/>
              </c:ext>
            </c:extLst>
          </c:dPt>
          <c:dPt>
            <c:idx val="1"/>
            <c:invertIfNegative val="0"/>
            <c:bubble3D val="0"/>
            <c:spPr>
              <a:solidFill>
                <a:srgbClr val="B693D9"/>
              </a:solidFill>
              <a:ln>
                <a:noFill/>
              </a:ln>
              <a:effectLst/>
            </c:spPr>
            <c:extLst>
              <c:ext xmlns:c16="http://schemas.microsoft.com/office/drawing/2014/chart" uri="{C3380CC4-5D6E-409C-BE32-E72D297353CC}">
                <c16:uniqueId val="{00000005-709D-4160-BC11-E73B49B771A3}"/>
              </c:ext>
            </c:extLst>
          </c:dPt>
          <c:dPt>
            <c:idx val="2"/>
            <c:invertIfNegative val="0"/>
            <c:bubble3D val="0"/>
            <c:spPr>
              <a:solidFill>
                <a:srgbClr val="9766C8"/>
              </a:solidFill>
              <a:ln>
                <a:noFill/>
              </a:ln>
              <a:effectLst/>
            </c:spPr>
            <c:extLst>
              <c:ext xmlns:c16="http://schemas.microsoft.com/office/drawing/2014/chart" uri="{C3380CC4-5D6E-409C-BE32-E72D297353CC}">
                <c16:uniqueId val="{00000004-709D-4160-BC11-E73B49B771A3}"/>
              </c:ext>
            </c:extLst>
          </c:dPt>
          <c:dPt>
            <c:idx val="3"/>
            <c:invertIfNegative val="0"/>
            <c:bubble3D val="0"/>
            <c:spPr>
              <a:solidFill>
                <a:srgbClr val="8044BC"/>
              </a:solidFill>
              <a:ln>
                <a:noFill/>
              </a:ln>
              <a:effectLst/>
            </c:spPr>
            <c:extLst>
              <c:ext xmlns:c16="http://schemas.microsoft.com/office/drawing/2014/chart" uri="{C3380CC4-5D6E-409C-BE32-E72D297353CC}">
                <c16:uniqueId val="{00000003-709D-4160-BC11-E73B49B771A3}"/>
              </c:ext>
            </c:extLst>
          </c:dPt>
          <c:dPt>
            <c:idx val="4"/>
            <c:invertIfNegative val="0"/>
            <c:bubble3D val="0"/>
            <c:spPr>
              <a:solidFill>
                <a:srgbClr val="683799"/>
              </a:solidFill>
              <a:ln>
                <a:noFill/>
              </a:ln>
              <a:effectLst/>
            </c:spPr>
            <c:extLst>
              <c:ext xmlns:c16="http://schemas.microsoft.com/office/drawing/2014/chart" uri="{C3380CC4-5D6E-409C-BE32-E72D297353CC}">
                <c16:uniqueId val="{00000002-709D-4160-BC11-E73B49B771A3}"/>
              </c:ext>
            </c:extLst>
          </c:dPt>
          <c:dPt>
            <c:idx val="5"/>
            <c:invertIfNegative val="0"/>
            <c:bubble3D val="0"/>
            <c:spPr>
              <a:solidFill>
                <a:srgbClr val="49276B"/>
              </a:solidFill>
              <a:ln>
                <a:noFill/>
              </a:ln>
              <a:effectLst/>
            </c:spPr>
            <c:extLst>
              <c:ext xmlns:c16="http://schemas.microsoft.com/office/drawing/2014/chart" uri="{C3380CC4-5D6E-409C-BE32-E72D297353CC}">
                <c16:uniqueId val="{00000001-709D-4160-BC11-E73B49B771A3}"/>
              </c:ext>
            </c:extLst>
          </c:dPt>
          <c:cat>
            <c:strRef>
              <c:f>'Unit Sold by Product (DONE)'!$A$4:$A$10</c:f>
              <c:strCache>
                <c:ptCount val="6"/>
                <c:pt idx="0">
                  <c:v>Carretera</c:v>
                </c:pt>
                <c:pt idx="1">
                  <c:v>Montana</c:v>
                </c:pt>
                <c:pt idx="2">
                  <c:v>Amarilla</c:v>
                </c:pt>
                <c:pt idx="3">
                  <c:v>Velo</c:v>
                </c:pt>
                <c:pt idx="4">
                  <c:v>VTT</c:v>
                </c:pt>
                <c:pt idx="5">
                  <c:v>Paseo</c:v>
                </c:pt>
              </c:strCache>
            </c:strRef>
          </c:cat>
          <c:val>
            <c:numRef>
              <c:f>'Unit Sold by Product (DONE)'!$B$4:$B$10</c:f>
              <c:numCache>
                <c:formatCode>_(* #,##0_);_(* \(#,##0\);_(* "-"??_);_(@_)</c:formatCode>
                <c:ptCount val="6"/>
                <c:pt idx="0">
                  <c:v>148056</c:v>
                </c:pt>
                <c:pt idx="1">
                  <c:v>156696</c:v>
                </c:pt>
                <c:pt idx="2">
                  <c:v>157883</c:v>
                </c:pt>
                <c:pt idx="3">
                  <c:v>162424.5</c:v>
                </c:pt>
                <c:pt idx="4">
                  <c:v>168783</c:v>
                </c:pt>
                <c:pt idx="5">
                  <c:v>338239.5</c:v>
                </c:pt>
              </c:numCache>
            </c:numRef>
          </c:val>
          <c:extLst>
            <c:ext xmlns:c16="http://schemas.microsoft.com/office/drawing/2014/chart" uri="{C3380CC4-5D6E-409C-BE32-E72D297353CC}">
              <c16:uniqueId val="{00000000-0B0C-4500-8F08-187708927228}"/>
            </c:ext>
          </c:extLst>
        </c:ser>
        <c:dLbls>
          <c:showLegendKey val="0"/>
          <c:showVal val="0"/>
          <c:showCatName val="0"/>
          <c:showSerName val="0"/>
          <c:showPercent val="0"/>
          <c:showBubbleSize val="0"/>
        </c:dLbls>
        <c:gapWidth val="182"/>
        <c:axId val="1650228831"/>
        <c:axId val="1593011983"/>
      </c:barChart>
      <c:catAx>
        <c:axId val="16502288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1593011983"/>
        <c:crosses val="autoZero"/>
        <c:auto val="1"/>
        <c:lblAlgn val="ctr"/>
        <c:lblOffset val="100"/>
        <c:noMultiLvlLbl val="0"/>
      </c:catAx>
      <c:valAx>
        <c:axId val="1593011983"/>
        <c:scaling>
          <c:orientation val="minMax"/>
        </c:scaling>
        <c:delete val="0"/>
        <c:axPos val="b"/>
        <c:majorGridlines>
          <c:spPr>
            <a:ln w="9525" cap="flat" cmpd="sng" algn="ctr">
              <a:solidFill>
                <a:schemeClr val="bg1"/>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165022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Country (DONE)!Sales by Country</c:name>
    <c:fmtId val="3"/>
  </c:pivotSource>
  <c:chart>
    <c:title>
      <c:tx>
        <c:rich>
          <a:bodyPr rot="0" spcFirstLastPara="1" vertOverflow="ellipsis" vert="horz" wrap="square" anchor="ctr" anchorCtr="1"/>
          <a:lstStyle/>
          <a:p>
            <a:pPr>
              <a:defRPr sz="1400" b="0" i="0" u="none" strike="noStrike" kern="1200" spc="0" baseline="0">
                <a:solidFill>
                  <a:srgbClr val="49276B"/>
                </a:solidFill>
                <a:latin typeface="+mn-lt"/>
                <a:ea typeface="+mn-ea"/>
                <a:cs typeface="+mn-cs"/>
              </a:defRPr>
            </a:pPr>
            <a:r>
              <a:rPr lang="en-US">
                <a:solidFill>
                  <a:srgbClr val="49276B"/>
                </a:solidFill>
              </a:rPr>
              <a:t>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927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9276B"/>
          </a:solidFill>
          <a:ln>
            <a:noFill/>
          </a:ln>
          <a:effectLst/>
        </c:spPr>
      </c:pivotFmt>
      <c:pivotFmt>
        <c:idx val="3"/>
        <c:spPr>
          <a:solidFill>
            <a:srgbClr val="623490"/>
          </a:solidFill>
          <a:ln>
            <a:noFill/>
          </a:ln>
          <a:effectLst/>
        </c:spPr>
      </c:pivotFmt>
      <c:pivotFmt>
        <c:idx val="4"/>
        <c:spPr>
          <a:solidFill>
            <a:srgbClr val="7D42B8"/>
          </a:solidFill>
          <a:ln>
            <a:noFill/>
          </a:ln>
          <a:effectLst/>
        </c:spPr>
      </c:pivotFmt>
      <c:pivotFmt>
        <c:idx val="5"/>
        <c:spPr>
          <a:solidFill>
            <a:srgbClr val="9665C7"/>
          </a:solidFill>
          <a:ln>
            <a:noFill/>
          </a:ln>
          <a:effectLst/>
        </c:spPr>
      </c:pivotFmt>
      <c:pivotFmt>
        <c:idx val="6"/>
        <c:spPr>
          <a:solidFill>
            <a:srgbClr val="B897D9"/>
          </a:solidFill>
          <a:ln>
            <a:noFill/>
          </a:ln>
          <a:effectLst/>
        </c:spPr>
      </c:pivotFmt>
    </c:pivotFmts>
    <c:plotArea>
      <c:layout/>
      <c:barChart>
        <c:barDir val="bar"/>
        <c:grouping val="clustered"/>
        <c:varyColors val="0"/>
        <c:ser>
          <c:idx val="0"/>
          <c:order val="0"/>
          <c:tx>
            <c:strRef>
              <c:f>'Profit by Country (DONE)'!$B$3</c:f>
              <c:strCache>
                <c:ptCount val="1"/>
                <c:pt idx="0">
                  <c:v>Total</c:v>
                </c:pt>
              </c:strCache>
            </c:strRef>
          </c:tx>
          <c:spPr>
            <a:solidFill>
              <a:schemeClr val="accent1"/>
            </a:solidFill>
            <a:ln>
              <a:noFill/>
            </a:ln>
            <a:effectLst/>
          </c:spPr>
          <c:invertIfNegative val="0"/>
          <c:dPt>
            <c:idx val="0"/>
            <c:invertIfNegative val="0"/>
            <c:bubble3D val="0"/>
            <c:spPr>
              <a:solidFill>
                <a:srgbClr val="B897D9"/>
              </a:solidFill>
              <a:ln>
                <a:noFill/>
              </a:ln>
              <a:effectLst/>
            </c:spPr>
            <c:extLst>
              <c:ext xmlns:c16="http://schemas.microsoft.com/office/drawing/2014/chart" uri="{C3380CC4-5D6E-409C-BE32-E72D297353CC}">
                <c16:uniqueId val="{00000004-18F0-4059-816F-122B130DBB8C}"/>
              </c:ext>
            </c:extLst>
          </c:dPt>
          <c:dPt>
            <c:idx val="1"/>
            <c:invertIfNegative val="0"/>
            <c:bubble3D val="0"/>
            <c:extLst>
              <c:ext xmlns:c16="http://schemas.microsoft.com/office/drawing/2014/chart" uri="{C3380CC4-5D6E-409C-BE32-E72D297353CC}">
                <c16:uniqueId val="{00000003-18F0-4059-816F-122B130DBB8C}"/>
              </c:ext>
            </c:extLst>
          </c:dPt>
          <c:dPt>
            <c:idx val="2"/>
            <c:invertIfNegative val="0"/>
            <c:bubble3D val="0"/>
            <c:spPr>
              <a:solidFill>
                <a:srgbClr val="7D42B8"/>
              </a:solidFill>
              <a:ln>
                <a:noFill/>
              </a:ln>
              <a:effectLst/>
            </c:spPr>
            <c:extLst>
              <c:ext xmlns:c16="http://schemas.microsoft.com/office/drawing/2014/chart" uri="{C3380CC4-5D6E-409C-BE32-E72D297353CC}">
                <c16:uniqueId val="{00000002-18F0-4059-816F-122B130DBB8C}"/>
              </c:ext>
            </c:extLst>
          </c:dPt>
          <c:dPt>
            <c:idx val="3"/>
            <c:invertIfNegative val="0"/>
            <c:bubble3D val="0"/>
            <c:spPr>
              <a:solidFill>
                <a:srgbClr val="623490"/>
              </a:solidFill>
              <a:ln>
                <a:noFill/>
              </a:ln>
              <a:effectLst/>
            </c:spPr>
            <c:extLst>
              <c:ext xmlns:c16="http://schemas.microsoft.com/office/drawing/2014/chart" uri="{C3380CC4-5D6E-409C-BE32-E72D297353CC}">
                <c16:uniqueId val="{00000001-18F0-4059-816F-122B130DBB8C}"/>
              </c:ext>
            </c:extLst>
          </c:dPt>
          <c:dPt>
            <c:idx val="4"/>
            <c:invertIfNegative val="0"/>
            <c:bubble3D val="0"/>
            <c:spPr>
              <a:solidFill>
                <a:srgbClr val="49276B"/>
              </a:solidFill>
              <a:ln>
                <a:noFill/>
              </a:ln>
              <a:effectLst/>
            </c:spPr>
            <c:extLst>
              <c:ext xmlns:c16="http://schemas.microsoft.com/office/drawing/2014/chart" uri="{C3380CC4-5D6E-409C-BE32-E72D297353CC}">
                <c16:uniqueId val="{00000000-18F0-4059-816F-122B130DBB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Country (DONE)'!$A$4:$A$9</c:f>
              <c:strCache>
                <c:ptCount val="5"/>
                <c:pt idx="0">
                  <c:v>Mexico</c:v>
                </c:pt>
                <c:pt idx="1">
                  <c:v>America</c:v>
                </c:pt>
                <c:pt idx="2">
                  <c:v>Canada</c:v>
                </c:pt>
                <c:pt idx="3">
                  <c:v>Germany</c:v>
                </c:pt>
                <c:pt idx="4">
                  <c:v>France</c:v>
                </c:pt>
              </c:strCache>
            </c:strRef>
          </c:cat>
          <c:val>
            <c:numRef>
              <c:f>'Profit by Country (DONE)'!$B$4:$B$9</c:f>
              <c:numCache>
                <c:formatCode>_("$"* #,##0_);_("$"* \(#,##0\);_("$"* "-"??_);_(@_)</c:formatCode>
                <c:ptCount val="5"/>
                <c:pt idx="0">
                  <c:v>3012188.1100000003</c:v>
                </c:pt>
                <c:pt idx="1">
                  <c:v>3133598.6649999991</c:v>
                </c:pt>
                <c:pt idx="2">
                  <c:v>3529228.8850000002</c:v>
                </c:pt>
                <c:pt idx="3">
                  <c:v>3680388.8200000008</c:v>
                </c:pt>
                <c:pt idx="4">
                  <c:v>3781020.7800000007</c:v>
                </c:pt>
              </c:numCache>
            </c:numRef>
          </c:val>
          <c:extLst>
            <c:ext xmlns:c16="http://schemas.microsoft.com/office/drawing/2014/chart" uri="{C3380CC4-5D6E-409C-BE32-E72D297353CC}">
              <c16:uniqueId val="{00000000-E943-4893-81BE-5FE3D66B3905}"/>
            </c:ext>
          </c:extLst>
        </c:ser>
        <c:dLbls>
          <c:dLblPos val="inEnd"/>
          <c:showLegendKey val="0"/>
          <c:showVal val="1"/>
          <c:showCatName val="0"/>
          <c:showSerName val="0"/>
          <c:showPercent val="0"/>
          <c:showBubbleSize val="0"/>
        </c:dLbls>
        <c:gapWidth val="150"/>
        <c:axId val="1970343584"/>
        <c:axId val="2095873984"/>
      </c:barChart>
      <c:catAx>
        <c:axId val="19703435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2095873984"/>
        <c:crosses val="autoZero"/>
        <c:auto val="1"/>
        <c:lblAlgn val="ctr"/>
        <c:lblOffset val="100"/>
        <c:noMultiLvlLbl val="0"/>
      </c:catAx>
      <c:valAx>
        <c:axId val="2095873984"/>
        <c:scaling>
          <c:orientation val="minMax"/>
        </c:scaling>
        <c:delete val="0"/>
        <c:axPos val="b"/>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76B"/>
                </a:solidFill>
                <a:latin typeface="+mn-lt"/>
                <a:ea typeface="+mn-ea"/>
                <a:cs typeface="+mn-cs"/>
              </a:defRPr>
            </a:pPr>
            <a:endParaRPr lang="en-US"/>
          </a:p>
        </c:txPr>
        <c:crossAx val="197034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vs COGS (DONE)!PivotTable2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COGS (DONE)'!$B$3</c:f>
              <c:strCache>
                <c:ptCount val="1"/>
                <c:pt idx="0">
                  <c:v>Sum of COGS</c:v>
                </c:pt>
              </c:strCache>
            </c:strRef>
          </c:tx>
          <c:spPr>
            <a:solidFill>
              <a:schemeClr val="accent1"/>
            </a:solidFill>
            <a:ln>
              <a:noFill/>
            </a:ln>
            <a:effectLst/>
          </c:spPr>
          <c:invertIfNegative val="0"/>
          <c:cat>
            <c:strRef>
              <c:f>'Profit vs COGS (DONE)'!$A$4:$A$10</c:f>
              <c:strCache>
                <c:ptCount val="6"/>
                <c:pt idx="0">
                  <c:v>Velo</c:v>
                </c:pt>
                <c:pt idx="1">
                  <c:v>VTT</c:v>
                </c:pt>
                <c:pt idx="2">
                  <c:v>Carretera</c:v>
                </c:pt>
                <c:pt idx="3">
                  <c:v>Amarilla</c:v>
                </c:pt>
                <c:pt idx="4">
                  <c:v>Paseo</c:v>
                </c:pt>
                <c:pt idx="5">
                  <c:v>Montana</c:v>
                </c:pt>
              </c:strCache>
            </c:strRef>
          </c:cat>
          <c:val>
            <c:numRef>
              <c:f>'Profit vs COGS (DONE)'!$B$4:$B$10</c:f>
              <c:numCache>
                <c:formatCode>_(* #,##0_);_(* \(#,##0\);_(* "-"??_);_(@_)</c:formatCode>
                <c:ptCount val="6"/>
                <c:pt idx="0">
                  <c:v>5200546</c:v>
                </c:pt>
                <c:pt idx="1">
                  <c:v>3822385</c:v>
                </c:pt>
                <c:pt idx="2">
                  <c:v>2947228</c:v>
                </c:pt>
                <c:pt idx="3">
                  <c:v>2464292</c:v>
                </c:pt>
                <c:pt idx="4">
                  <c:v>2292029</c:v>
                </c:pt>
                <c:pt idx="5">
                  <c:v>1505170</c:v>
                </c:pt>
              </c:numCache>
            </c:numRef>
          </c:val>
          <c:extLst>
            <c:ext xmlns:c16="http://schemas.microsoft.com/office/drawing/2014/chart" uri="{C3380CC4-5D6E-409C-BE32-E72D297353CC}">
              <c16:uniqueId val="{00000000-9B91-407C-B3F3-C1D944E23FF6}"/>
            </c:ext>
          </c:extLst>
        </c:ser>
        <c:ser>
          <c:idx val="1"/>
          <c:order val="1"/>
          <c:tx>
            <c:strRef>
              <c:f>'Profit vs COGS (DONE)'!$C$3</c:f>
              <c:strCache>
                <c:ptCount val="1"/>
                <c:pt idx="0">
                  <c:v>Sum of Profit</c:v>
                </c:pt>
              </c:strCache>
            </c:strRef>
          </c:tx>
          <c:spPr>
            <a:solidFill>
              <a:schemeClr val="accent2"/>
            </a:solidFill>
            <a:ln>
              <a:noFill/>
            </a:ln>
            <a:effectLst/>
          </c:spPr>
          <c:invertIfNegative val="0"/>
          <c:cat>
            <c:strRef>
              <c:f>'Profit vs COGS (DONE)'!$A$4:$A$10</c:f>
              <c:strCache>
                <c:ptCount val="6"/>
                <c:pt idx="0">
                  <c:v>Velo</c:v>
                </c:pt>
                <c:pt idx="1">
                  <c:v>VTT</c:v>
                </c:pt>
                <c:pt idx="2">
                  <c:v>Carretera</c:v>
                </c:pt>
                <c:pt idx="3">
                  <c:v>Amarilla</c:v>
                </c:pt>
                <c:pt idx="4">
                  <c:v>Paseo</c:v>
                </c:pt>
                <c:pt idx="5">
                  <c:v>Montana</c:v>
                </c:pt>
              </c:strCache>
            </c:strRef>
          </c:cat>
          <c:val>
            <c:numRef>
              <c:f>'Profit vs COGS (DONE)'!$C$4:$C$10</c:f>
              <c:numCache>
                <c:formatCode>_(* #,##0_);_(* \(#,##0\);_(* "-"??_);_(@_)</c:formatCode>
                <c:ptCount val="6"/>
                <c:pt idx="0">
                  <c:v>1079709.31</c:v>
                </c:pt>
                <c:pt idx="1">
                  <c:v>771803.75</c:v>
                </c:pt>
                <c:pt idx="2">
                  <c:v>315991.71999999997</c:v>
                </c:pt>
                <c:pt idx="3">
                  <c:v>682620.89</c:v>
                </c:pt>
                <c:pt idx="4">
                  <c:v>323605.99000000005</c:v>
                </c:pt>
                <c:pt idx="5">
                  <c:v>266049.36000000004</c:v>
                </c:pt>
              </c:numCache>
            </c:numRef>
          </c:val>
          <c:extLst>
            <c:ext xmlns:c16="http://schemas.microsoft.com/office/drawing/2014/chart" uri="{C3380CC4-5D6E-409C-BE32-E72D297353CC}">
              <c16:uniqueId val="{00000001-9B91-407C-B3F3-C1D944E23FF6}"/>
            </c:ext>
          </c:extLst>
        </c:ser>
        <c:dLbls>
          <c:showLegendKey val="0"/>
          <c:showVal val="0"/>
          <c:showCatName val="0"/>
          <c:showSerName val="0"/>
          <c:showPercent val="0"/>
          <c:showBubbleSize val="0"/>
        </c:dLbls>
        <c:gapWidth val="219"/>
        <c:overlap val="-27"/>
        <c:axId val="512582704"/>
        <c:axId val="489239168"/>
      </c:barChart>
      <c:catAx>
        <c:axId val="5125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39168"/>
        <c:crosses val="autoZero"/>
        <c:auto val="1"/>
        <c:lblAlgn val="ctr"/>
        <c:lblOffset val="100"/>
        <c:noMultiLvlLbl val="0"/>
      </c:catAx>
      <c:valAx>
        <c:axId val="4892391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8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vs COGS vs Sales (DONE)!PivotTable2</c:name>
    <c:fmtId val="5"/>
  </c:pivotSource>
  <c:chart>
    <c:title>
      <c:tx>
        <c:rich>
          <a:bodyPr rot="0" spcFirstLastPara="1" vertOverflow="ellipsis" vert="horz" wrap="square" anchor="ctr" anchorCtr="1"/>
          <a:lstStyle/>
          <a:p>
            <a:pPr>
              <a:defRPr sz="1400" b="0" i="0" u="none" strike="noStrike" kern="1200" spc="0" baseline="0">
                <a:solidFill>
                  <a:srgbClr val="3B1F57"/>
                </a:solidFill>
                <a:latin typeface="+mn-lt"/>
                <a:ea typeface="+mn-ea"/>
                <a:cs typeface="+mn-cs"/>
              </a:defRPr>
            </a:pPr>
            <a:r>
              <a:rPr lang="en-US">
                <a:solidFill>
                  <a:srgbClr val="3B1F57"/>
                </a:solidFill>
              </a:rPr>
              <a:t>Sales VS COGS vs</a:t>
            </a:r>
            <a:r>
              <a:rPr lang="en-US" baseline="0">
                <a:solidFill>
                  <a:srgbClr val="3B1F57"/>
                </a:solidFill>
              </a:rPr>
              <a:t> Profit</a:t>
            </a:r>
            <a:endParaRPr lang="en-US">
              <a:solidFill>
                <a:srgbClr val="3B1F57"/>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3B1F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COGS vs Sales (DONE)'!$B$3</c:f>
              <c:strCache>
                <c:ptCount val="1"/>
                <c:pt idx="0">
                  <c:v>Sales  </c:v>
                </c:pt>
              </c:strCache>
            </c:strRef>
          </c:tx>
          <c:spPr>
            <a:solidFill>
              <a:srgbClr val="69389A"/>
            </a:solidFill>
            <a:ln>
              <a:noFill/>
            </a:ln>
            <a:effectLst/>
          </c:spPr>
          <c:invertIfNegative val="0"/>
          <c:cat>
            <c:strRef>
              <c:f>'Profit vs COGS vs Sales (DONE)'!$A$4:$A$10</c:f>
              <c:strCache>
                <c:ptCount val="6"/>
                <c:pt idx="0">
                  <c:v>Paseo</c:v>
                </c:pt>
                <c:pt idx="1">
                  <c:v>VTT</c:v>
                </c:pt>
                <c:pt idx="2">
                  <c:v>Velo</c:v>
                </c:pt>
                <c:pt idx="3">
                  <c:v>Amarilla</c:v>
                </c:pt>
                <c:pt idx="4">
                  <c:v>Montana</c:v>
                </c:pt>
                <c:pt idx="5">
                  <c:v>Carretera</c:v>
                </c:pt>
              </c:strCache>
            </c:strRef>
          </c:cat>
          <c:val>
            <c:numRef>
              <c:f>'Profit vs COGS vs Sales (DONE)'!$B$4:$B$10</c:f>
              <c:numCache>
                <c:formatCode>_("$"* #,##0_);_("$"* \(#,##0\);_("$"* "-"??_);_(@_)</c:formatCode>
                <c:ptCount val="6"/>
                <c:pt idx="0">
                  <c:v>33011143.95000001</c:v>
                </c:pt>
                <c:pt idx="1">
                  <c:v>20511921.02</c:v>
                </c:pt>
                <c:pt idx="2">
                  <c:v>18250059.465</c:v>
                </c:pt>
                <c:pt idx="3">
                  <c:v>17779777.059999999</c:v>
                </c:pt>
                <c:pt idx="4">
                  <c:v>16132707.879999999</c:v>
                </c:pt>
                <c:pt idx="5">
                  <c:v>14234572.885000004</c:v>
                </c:pt>
              </c:numCache>
            </c:numRef>
          </c:val>
          <c:extLst>
            <c:ext xmlns:c16="http://schemas.microsoft.com/office/drawing/2014/chart" uri="{C3380CC4-5D6E-409C-BE32-E72D297353CC}">
              <c16:uniqueId val="{00000000-75AB-485F-A2DE-1D0BD7C82121}"/>
            </c:ext>
          </c:extLst>
        </c:ser>
        <c:ser>
          <c:idx val="1"/>
          <c:order val="1"/>
          <c:tx>
            <c:strRef>
              <c:f>'Profit vs COGS vs Sales (DONE)'!$C$3</c:f>
              <c:strCache>
                <c:ptCount val="1"/>
                <c:pt idx="0">
                  <c:v>COGS  </c:v>
                </c:pt>
              </c:strCache>
            </c:strRef>
          </c:tx>
          <c:spPr>
            <a:solidFill>
              <a:srgbClr val="000066"/>
            </a:solidFill>
            <a:ln>
              <a:noFill/>
            </a:ln>
            <a:effectLst/>
          </c:spPr>
          <c:invertIfNegative val="0"/>
          <c:cat>
            <c:strRef>
              <c:f>'Profit vs COGS vs Sales (DONE)'!$A$4:$A$10</c:f>
              <c:strCache>
                <c:ptCount val="6"/>
                <c:pt idx="0">
                  <c:v>Paseo</c:v>
                </c:pt>
                <c:pt idx="1">
                  <c:v>VTT</c:v>
                </c:pt>
                <c:pt idx="2">
                  <c:v>Velo</c:v>
                </c:pt>
                <c:pt idx="3">
                  <c:v>Amarilla</c:v>
                </c:pt>
                <c:pt idx="4">
                  <c:v>Montana</c:v>
                </c:pt>
                <c:pt idx="5">
                  <c:v>Carretera</c:v>
                </c:pt>
              </c:strCache>
            </c:strRef>
          </c:cat>
          <c:val>
            <c:numRef>
              <c:f>'Profit vs COGS vs Sales (DONE)'!$C$4:$C$10</c:f>
              <c:numCache>
                <c:formatCode>_("$"* #,##0_);_("$"* \(#,##0\);_("$"* "-"??_);_(@_)</c:formatCode>
                <c:ptCount val="6"/>
                <c:pt idx="0">
                  <c:v>28213706</c:v>
                </c:pt>
                <c:pt idx="1">
                  <c:v>17477313</c:v>
                </c:pt>
                <c:pt idx="2">
                  <c:v>15944067</c:v>
                </c:pt>
                <c:pt idx="3">
                  <c:v>14945021</c:v>
                </c:pt>
                <c:pt idx="4">
                  <c:v>13900547</c:v>
                </c:pt>
                <c:pt idx="5">
                  <c:v>12303103</c:v>
                </c:pt>
              </c:numCache>
            </c:numRef>
          </c:val>
          <c:extLst>
            <c:ext xmlns:c16="http://schemas.microsoft.com/office/drawing/2014/chart" uri="{C3380CC4-5D6E-409C-BE32-E72D297353CC}">
              <c16:uniqueId val="{00000001-75AB-485F-A2DE-1D0BD7C82121}"/>
            </c:ext>
          </c:extLst>
        </c:ser>
        <c:ser>
          <c:idx val="2"/>
          <c:order val="2"/>
          <c:tx>
            <c:strRef>
              <c:f>'Profit vs COGS vs Sales (DONE)'!$D$3</c:f>
              <c:strCache>
                <c:ptCount val="1"/>
                <c:pt idx="0">
                  <c:v>Profit  </c:v>
                </c:pt>
              </c:strCache>
            </c:strRef>
          </c:tx>
          <c:spPr>
            <a:solidFill>
              <a:srgbClr val="CC0099"/>
            </a:solidFill>
            <a:ln>
              <a:noFill/>
            </a:ln>
            <a:effectLst/>
          </c:spPr>
          <c:invertIfNegative val="0"/>
          <c:cat>
            <c:strRef>
              <c:f>'Profit vs COGS vs Sales (DONE)'!$A$4:$A$10</c:f>
              <c:strCache>
                <c:ptCount val="6"/>
                <c:pt idx="0">
                  <c:v>Paseo</c:v>
                </c:pt>
                <c:pt idx="1">
                  <c:v>VTT</c:v>
                </c:pt>
                <c:pt idx="2">
                  <c:v>Velo</c:v>
                </c:pt>
                <c:pt idx="3">
                  <c:v>Amarilla</c:v>
                </c:pt>
                <c:pt idx="4">
                  <c:v>Montana</c:v>
                </c:pt>
                <c:pt idx="5">
                  <c:v>Carretera</c:v>
                </c:pt>
              </c:strCache>
            </c:strRef>
          </c:cat>
          <c:val>
            <c:numRef>
              <c:f>'Profit vs COGS vs Sales (DONE)'!$D$4:$D$10</c:f>
              <c:numCache>
                <c:formatCode>_("$"* #,##0_);_("$"* \(#,##0\);_("$"* "-"??_);_(@_)</c:formatCode>
                <c:ptCount val="6"/>
                <c:pt idx="0">
                  <c:v>4797437.9499999993</c:v>
                </c:pt>
                <c:pt idx="1">
                  <c:v>3034608.0200000005</c:v>
                </c:pt>
                <c:pt idx="2">
                  <c:v>2305992.4649999999</c:v>
                </c:pt>
                <c:pt idx="3">
                  <c:v>2834756.06</c:v>
                </c:pt>
                <c:pt idx="4">
                  <c:v>2232160.88</c:v>
                </c:pt>
                <c:pt idx="5">
                  <c:v>1931469.8849999998</c:v>
                </c:pt>
              </c:numCache>
            </c:numRef>
          </c:val>
          <c:extLst>
            <c:ext xmlns:c16="http://schemas.microsoft.com/office/drawing/2014/chart" uri="{C3380CC4-5D6E-409C-BE32-E72D297353CC}">
              <c16:uniqueId val="{00000002-75AB-485F-A2DE-1D0BD7C82121}"/>
            </c:ext>
          </c:extLst>
        </c:ser>
        <c:dLbls>
          <c:showLegendKey val="0"/>
          <c:showVal val="0"/>
          <c:showCatName val="0"/>
          <c:showSerName val="0"/>
          <c:showPercent val="0"/>
          <c:showBubbleSize val="0"/>
        </c:dLbls>
        <c:gapWidth val="150"/>
        <c:axId val="512582704"/>
        <c:axId val="489239168"/>
      </c:barChart>
      <c:catAx>
        <c:axId val="5125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39168"/>
        <c:crosses val="autoZero"/>
        <c:auto val="1"/>
        <c:lblAlgn val="ctr"/>
        <c:lblOffset val="100"/>
        <c:noMultiLvlLbl val="0"/>
      </c:catAx>
      <c:valAx>
        <c:axId val="4892391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F57"/>
                </a:solidFill>
                <a:latin typeface="+mn-lt"/>
                <a:ea typeface="+mn-ea"/>
                <a:cs typeface="+mn-cs"/>
              </a:defRPr>
            </a:pPr>
            <a:endParaRPr lang="en-US"/>
          </a:p>
        </c:txPr>
        <c:crossAx val="512582704"/>
        <c:crosses val="autoZero"/>
        <c:crossBetween val="between"/>
      </c:valAx>
      <c:dTable>
        <c:showHorzBorder val="1"/>
        <c:showVertBorder val="1"/>
        <c:showOutline val="1"/>
        <c:showKeys val="1"/>
        <c:spPr>
          <a:noFill/>
          <a:ln w="9525" cap="flat" cmpd="sng" algn="ctr">
            <a:solidFill>
              <a:srgbClr val="3B1F57"/>
            </a:solidFill>
            <a:round/>
          </a:ln>
          <a:effectLst/>
        </c:spPr>
        <c:txPr>
          <a:bodyPr rot="0" spcFirstLastPara="1" vertOverflow="ellipsis" vert="horz" wrap="square" anchor="ctr" anchorCtr="1"/>
          <a:lstStyle/>
          <a:p>
            <a:pPr rtl="0">
              <a:defRPr sz="900" b="0" i="0" u="none" strike="noStrike" kern="1200" baseline="0">
                <a:solidFill>
                  <a:srgbClr val="3B1F57"/>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vs COGS vs Sales (DONE)!PivotTable2</c:name>
    <c:fmtId val="10"/>
  </c:pivotSource>
  <c:chart>
    <c:title>
      <c:tx>
        <c:rich>
          <a:bodyPr rot="0" spcFirstLastPara="1" vertOverflow="ellipsis" vert="horz" wrap="square" anchor="ctr" anchorCtr="1"/>
          <a:lstStyle/>
          <a:p>
            <a:pPr>
              <a:defRPr sz="1400" b="0" i="0" u="none" strike="noStrike" kern="1200" spc="0" baseline="0">
                <a:solidFill>
                  <a:srgbClr val="3B1F57"/>
                </a:solidFill>
                <a:latin typeface="+mn-lt"/>
                <a:ea typeface="+mn-ea"/>
                <a:cs typeface="+mn-cs"/>
              </a:defRPr>
            </a:pPr>
            <a:r>
              <a:rPr lang="en-US">
                <a:solidFill>
                  <a:srgbClr val="3B1F57"/>
                </a:solidFill>
              </a:rPr>
              <a:t>Sales VS COGS vs</a:t>
            </a:r>
            <a:r>
              <a:rPr lang="en-US" baseline="0">
                <a:solidFill>
                  <a:srgbClr val="3B1F57"/>
                </a:solidFill>
              </a:rPr>
              <a:t> Profit by Product</a:t>
            </a:r>
            <a:endParaRPr lang="en-US">
              <a:solidFill>
                <a:srgbClr val="3B1F57"/>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3B1F5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C00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COGS vs Sales (DONE)'!$B$3</c:f>
              <c:strCache>
                <c:ptCount val="1"/>
                <c:pt idx="0">
                  <c:v>Sales  </c:v>
                </c:pt>
              </c:strCache>
            </c:strRef>
          </c:tx>
          <c:spPr>
            <a:solidFill>
              <a:srgbClr val="69389A"/>
            </a:solidFill>
            <a:ln>
              <a:noFill/>
            </a:ln>
            <a:effectLst/>
          </c:spPr>
          <c:invertIfNegative val="0"/>
          <c:cat>
            <c:strRef>
              <c:f>'Profit vs COGS vs Sales (DONE)'!$A$4:$A$10</c:f>
              <c:strCache>
                <c:ptCount val="6"/>
                <c:pt idx="0">
                  <c:v>Paseo</c:v>
                </c:pt>
                <c:pt idx="1">
                  <c:v>VTT</c:v>
                </c:pt>
                <c:pt idx="2">
                  <c:v>Velo</c:v>
                </c:pt>
                <c:pt idx="3">
                  <c:v>Amarilla</c:v>
                </c:pt>
                <c:pt idx="4">
                  <c:v>Montana</c:v>
                </c:pt>
                <c:pt idx="5">
                  <c:v>Carretera</c:v>
                </c:pt>
              </c:strCache>
            </c:strRef>
          </c:cat>
          <c:val>
            <c:numRef>
              <c:f>'Profit vs COGS vs Sales (DONE)'!$B$4:$B$10</c:f>
              <c:numCache>
                <c:formatCode>_("$"* #,##0_);_("$"* \(#,##0\);_("$"* "-"??_);_(@_)</c:formatCode>
                <c:ptCount val="6"/>
                <c:pt idx="0">
                  <c:v>33011143.95000001</c:v>
                </c:pt>
                <c:pt idx="1">
                  <c:v>20511921.02</c:v>
                </c:pt>
                <c:pt idx="2">
                  <c:v>18250059.465</c:v>
                </c:pt>
                <c:pt idx="3">
                  <c:v>17779777.059999999</c:v>
                </c:pt>
                <c:pt idx="4">
                  <c:v>16132707.879999999</c:v>
                </c:pt>
                <c:pt idx="5">
                  <c:v>14234572.885000004</c:v>
                </c:pt>
              </c:numCache>
            </c:numRef>
          </c:val>
          <c:extLst>
            <c:ext xmlns:c16="http://schemas.microsoft.com/office/drawing/2014/chart" uri="{C3380CC4-5D6E-409C-BE32-E72D297353CC}">
              <c16:uniqueId val="{00000000-08F3-4AE1-B817-EB49D34F4B15}"/>
            </c:ext>
          </c:extLst>
        </c:ser>
        <c:ser>
          <c:idx val="1"/>
          <c:order val="1"/>
          <c:tx>
            <c:strRef>
              <c:f>'Profit vs COGS vs Sales (DONE)'!$C$3</c:f>
              <c:strCache>
                <c:ptCount val="1"/>
                <c:pt idx="0">
                  <c:v>COGS  </c:v>
                </c:pt>
              </c:strCache>
            </c:strRef>
          </c:tx>
          <c:spPr>
            <a:solidFill>
              <a:srgbClr val="002060"/>
            </a:solidFill>
            <a:ln>
              <a:noFill/>
            </a:ln>
            <a:effectLst/>
          </c:spPr>
          <c:invertIfNegative val="0"/>
          <c:cat>
            <c:strRef>
              <c:f>'Profit vs COGS vs Sales (DONE)'!$A$4:$A$10</c:f>
              <c:strCache>
                <c:ptCount val="6"/>
                <c:pt idx="0">
                  <c:v>Paseo</c:v>
                </c:pt>
                <c:pt idx="1">
                  <c:v>VTT</c:v>
                </c:pt>
                <c:pt idx="2">
                  <c:v>Velo</c:v>
                </c:pt>
                <c:pt idx="3">
                  <c:v>Amarilla</c:v>
                </c:pt>
                <c:pt idx="4">
                  <c:v>Montana</c:v>
                </c:pt>
                <c:pt idx="5">
                  <c:v>Carretera</c:v>
                </c:pt>
              </c:strCache>
            </c:strRef>
          </c:cat>
          <c:val>
            <c:numRef>
              <c:f>'Profit vs COGS vs Sales (DONE)'!$C$4:$C$10</c:f>
              <c:numCache>
                <c:formatCode>_("$"* #,##0_);_("$"* \(#,##0\);_("$"* "-"??_);_(@_)</c:formatCode>
                <c:ptCount val="6"/>
                <c:pt idx="0">
                  <c:v>28213706</c:v>
                </c:pt>
                <c:pt idx="1">
                  <c:v>17477313</c:v>
                </c:pt>
                <c:pt idx="2">
                  <c:v>15944067</c:v>
                </c:pt>
                <c:pt idx="3">
                  <c:v>14945021</c:v>
                </c:pt>
                <c:pt idx="4">
                  <c:v>13900547</c:v>
                </c:pt>
                <c:pt idx="5">
                  <c:v>12303103</c:v>
                </c:pt>
              </c:numCache>
            </c:numRef>
          </c:val>
          <c:extLst>
            <c:ext xmlns:c16="http://schemas.microsoft.com/office/drawing/2014/chart" uri="{C3380CC4-5D6E-409C-BE32-E72D297353CC}">
              <c16:uniqueId val="{00000001-08F3-4AE1-B817-EB49D34F4B15}"/>
            </c:ext>
          </c:extLst>
        </c:ser>
        <c:ser>
          <c:idx val="2"/>
          <c:order val="2"/>
          <c:tx>
            <c:strRef>
              <c:f>'Profit vs COGS vs Sales (DONE)'!$D$3</c:f>
              <c:strCache>
                <c:ptCount val="1"/>
                <c:pt idx="0">
                  <c:v>Profit  </c:v>
                </c:pt>
              </c:strCache>
            </c:strRef>
          </c:tx>
          <c:spPr>
            <a:solidFill>
              <a:srgbClr val="660066"/>
            </a:solidFill>
            <a:ln>
              <a:noFill/>
            </a:ln>
            <a:effectLst/>
          </c:spPr>
          <c:invertIfNegative val="0"/>
          <c:cat>
            <c:strRef>
              <c:f>'Profit vs COGS vs Sales (DONE)'!$A$4:$A$10</c:f>
              <c:strCache>
                <c:ptCount val="6"/>
                <c:pt idx="0">
                  <c:v>Paseo</c:v>
                </c:pt>
                <c:pt idx="1">
                  <c:v>VTT</c:v>
                </c:pt>
                <c:pt idx="2">
                  <c:v>Velo</c:v>
                </c:pt>
                <c:pt idx="3">
                  <c:v>Amarilla</c:v>
                </c:pt>
                <c:pt idx="4">
                  <c:v>Montana</c:v>
                </c:pt>
                <c:pt idx="5">
                  <c:v>Carretera</c:v>
                </c:pt>
              </c:strCache>
            </c:strRef>
          </c:cat>
          <c:val>
            <c:numRef>
              <c:f>'Profit vs COGS vs Sales (DONE)'!$D$4:$D$10</c:f>
              <c:numCache>
                <c:formatCode>_("$"* #,##0_);_("$"* \(#,##0\);_("$"* "-"??_);_(@_)</c:formatCode>
                <c:ptCount val="6"/>
                <c:pt idx="0">
                  <c:v>4797437.9499999993</c:v>
                </c:pt>
                <c:pt idx="1">
                  <c:v>3034608.0200000005</c:v>
                </c:pt>
                <c:pt idx="2">
                  <c:v>2305992.4649999999</c:v>
                </c:pt>
                <c:pt idx="3">
                  <c:v>2834756.06</c:v>
                </c:pt>
                <c:pt idx="4">
                  <c:v>2232160.88</c:v>
                </c:pt>
                <c:pt idx="5">
                  <c:v>1931469.8849999998</c:v>
                </c:pt>
              </c:numCache>
            </c:numRef>
          </c:val>
          <c:extLst>
            <c:ext xmlns:c16="http://schemas.microsoft.com/office/drawing/2014/chart" uri="{C3380CC4-5D6E-409C-BE32-E72D297353CC}">
              <c16:uniqueId val="{00000002-08F3-4AE1-B817-EB49D34F4B15}"/>
            </c:ext>
          </c:extLst>
        </c:ser>
        <c:dLbls>
          <c:showLegendKey val="0"/>
          <c:showVal val="0"/>
          <c:showCatName val="0"/>
          <c:showSerName val="0"/>
          <c:showPercent val="0"/>
          <c:showBubbleSize val="0"/>
        </c:dLbls>
        <c:gapWidth val="150"/>
        <c:axId val="512582704"/>
        <c:axId val="489239168"/>
      </c:barChart>
      <c:catAx>
        <c:axId val="5125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39168"/>
        <c:crosses val="autoZero"/>
        <c:auto val="1"/>
        <c:lblAlgn val="ctr"/>
        <c:lblOffset val="100"/>
        <c:noMultiLvlLbl val="0"/>
      </c:catAx>
      <c:valAx>
        <c:axId val="4892391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F57"/>
                </a:solidFill>
                <a:latin typeface="+mn-lt"/>
                <a:ea typeface="+mn-ea"/>
                <a:cs typeface="+mn-cs"/>
              </a:defRPr>
            </a:pPr>
            <a:endParaRPr lang="en-US"/>
          </a:p>
        </c:txPr>
        <c:crossAx val="512582704"/>
        <c:crosses val="autoZero"/>
        <c:crossBetween val="between"/>
      </c:valAx>
      <c:dTable>
        <c:showHorzBorder val="1"/>
        <c:showVertBorder val="1"/>
        <c:showOutline val="1"/>
        <c:showKeys val="1"/>
        <c:spPr>
          <a:noFill/>
          <a:ln w="3175" cap="flat" cmpd="sng" algn="ctr">
            <a:solidFill>
              <a:srgbClr val="B897D9"/>
            </a:solidFill>
            <a:round/>
          </a:ln>
          <a:effectLst/>
        </c:spPr>
        <c:txPr>
          <a:bodyPr rot="0" spcFirstLastPara="1" vertOverflow="ellipsis" vert="horz" wrap="square" anchor="ctr" anchorCtr="1"/>
          <a:lstStyle/>
          <a:p>
            <a:pPr rtl="0">
              <a:defRPr sz="900" b="0" i="0" u="none" strike="noStrike" kern="1200" baseline="0">
                <a:solidFill>
                  <a:srgbClr val="3B1F57"/>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Project.xlsx]Discount &amp; Profit (Done)!PivotTable1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B1F57"/>
                </a:solidFill>
              </a:rPr>
              <a:t>Discount Band Impact on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93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2F81"/>
          </a:solidFill>
          <a:ln>
            <a:noFill/>
          </a:ln>
          <a:effectLst/>
        </c:spPr>
      </c:pivotFmt>
      <c:pivotFmt>
        <c:idx val="2"/>
        <c:spPr>
          <a:solidFill>
            <a:srgbClr val="9F72CC"/>
          </a:solidFill>
          <a:ln>
            <a:noFill/>
          </a:ln>
          <a:effectLst/>
        </c:spPr>
      </c:pivotFmt>
    </c:pivotFmts>
    <c:plotArea>
      <c:layout/>
      <c:barChart>
        <c:barDir val="col"/>
        <c:grouping val="clustered"/>
        <c:varyColors val="0"/>
        <c:ser>
          <c:idx val="0"/>
          <c:order val="0"/>
          <c:tx>
            <c:strRef>
              <c:f>'Discount &amp; Profit (Done)'!$B$3</c:f>
              <c:strCache>
                <c:ptCount val="1"/>
                <c:pt idx="0">
                  <c:v>Total</c:v>
                </c:pt>
              </c:strCache>
            </c:strRef>
          </c:tx>
          <c:spPr>
            <a:solidFill>
              <a:srgbClr val="69389A"/>
            </a:solidFill>
            <a:ln>
              <a:noFill/>
            </a:ln>
            <a:effectLst/>
          </c:spPr>
          <c:invertIfNegative val="0"/>
          <c:dPt>
            <c:idx val="0"/>
            <c:invertIfNegative val="0"/>
            <c:bubble3D val="0"/>
            <c:spPr>
              <a:solidFill>
                <a:srgbClr val="582F81"/>
              </a:solidFill>
              <a:ln>
                <a:noFill/>
              </a:ln>
              <a:effectLst/>
            </c:spPr>
            <c:extLst>
              <c:ext xmlns:c16="http://schemas.microsoft.com/office/drawing/2014/chart" uri="{C3380CC4-5D6E-409C-BE32-E72D297353CC}">
                <c16:uniqueId val="{00000000-5C36-4895-B69D-876FE85B098C}"/>
              </c:ext>
            </c:extLst>
          </c:dPt>
          <c:dPt>
            <c:idx val="2"/>
            <c:invertIfNegative val="0"/>
            <c:bubble3D val="0"/>
            <c:spPr>
              <a:solidFill>
                <a:srgbClr val="9F72CC"/>
              </a:solidFill>
              <a:ln>
                <a:noFill/>
              </a:ln>
              <a:effectLst/>
            </c:spPr>
            <c:extLst>
              <c:ext xmlns:c16="http://schemas.microsoft.com/office/drawing/2014/chart" uri="{C3380CC4-5D6E-409C-BE32-E72D297353CC}">
                <c16:uniqueId val="{00000001-5C36-4895-B69D-876FE85B09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1F5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&amp; Profit (Done)'!$A$4:$A$8</c:f>
              <c:strCache>
                <c:ptCount val="4"/>
                <c:pt idx="0">
                  <c:v>Low</c:v>
                </c:pt>
                <c:pt idx="1">
                  <c:v>Medium</c:v>
                </c:pt>
                <c:pt idx="2">
                  <c:v>High</c:v>
                </c:pt>
                <c:pt idx="3">
                  <c:v>None</c:v>
                </c:pt>
              </c:strCache>
            </c:strRef>
          </c:cat>
          <c:val>
            <c:numRef>
              <c:f>'Discount &amp; Profit (Done)'!$B$4:$B$8</c:f>
              <c:numCache>
                <c:formatCode>_("$"* #,##0_);_("$"* \(#,##0\);_("$"* "-"??_);_(@_)</c:formatCode>
                <c:ptCount val="4"/>
                <c:pt idx="0">
                  <c:v>6410928.700000002</c:v>
                </c:pt>
                <c:pt idx="1">
                  <c:v>5579522.8349999972</c:v>
                </c:pt>
                <c:pt idx="2">
                  <c:v>3388866.7250000001</c:v>
                </c:pt>
                <c:pt idx="3">
                  <c:v>1757107</c:v>
                </c:pt>
              </c:numCache>
            </c:numRef>
          </c:val>
          <c:extLst>
            <c:ext xmlns:c16="http://schemas.microsoft.com/office/drawing/2014/chart" uri="{C3380CC4-5D6E-409C-BE32-E72D297353CC}">
              <c16:uniqueId val="{00000000-EABE-48A7-9735-1BEB166024A8}"/>
            </c:ext>
          </c:extLst>
        </c:ser>
        <c:dLbls>
          <c:dLblPos val="outEnd"/>
          <c:showLegendKey val="0"/>
          <c:showVal val="1"/>
          <c:showCatName val="0"/>
          <c:showSerName val="0"/>
          <c:showPercent val="0"/>
          <c:showBubbleSize val="0"/>
        </c:dLbls>
        <c:gapWidth val="219"/>
        <c:axId val="521685872"/>
        <c:axId val="3306400"/>
      </c:barChart>
      <c:catAx>
        <c:axId val="52168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1F57"/>
                </a:solidFill>
                <a:latin typeface="+mn-lt"/>
                <a:ea typeface="+mn-ea"/>
                <a:cs typeface="+mn-cs"/>
              </a:defRPr>
            </a:pPr>
            <a:endParaRPr lang="en-US"/>
          </a:p>
        </c:txPr>
        <c:crossAx val="3306400"/>
        <c:crosses val="autoZero"/>
        <c:auto val="1"/>
        <c:lblAlgn val="ctr"/>
        <c:lblOffset val="100"/>
        <c:noMultiLvlLbl val="0"/>
      </c:catAx>
      <c:valAx>
        <c:axId val="3306400"/>
        <c:scaling>
          <c:orientation val="minMax"/>
        </c:scaling>
        <c:delete val="0"/>
        <c:axPos val="l"/>
        <c:majorGridlines>
          <c:spPr>
            <a:ln w="9525" cap="flat" cmpd="sng" algn="ctr">
              <a:no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1F57"/>
                </a:solidFill>
                <a:latin typeface="+mn-lt"/>
                <a:ea typeface="+mn-ea"/>
                <a:cs typeface="+mn-cs"/>
              </a:defRPr>
            </a:pPr>
            <a:endParaRPr lang="en-US"/>
          </a:p>
        </c:txPr>
        <c:crossAx val="52168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Project.xlsx]Discount Impact on Profit(DONE)!PivotTable1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Impact on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 on Profit(DONE)'!$B$3</c:f>
              <c:strCache>
                <c:ptCount val="1"/>
                <c:pt idx="0">
                  <c:v>Discounts </c:v>
                </c:pt>
              </c:strCache>
            </c:strRef>
          </c:tx>
          <c:spPr>
            <a:solidFill>
              <a:schemeClr val="accent1"/>
            </a:solidFill>
            <a:ln>
              <a:noFill/>
            </a:ln>
            <a:effectLst/>
          </c:spPr>
          <c:invertIfNegative val="0"/>
          <c:cat>
            <c:strRef>
              <c:f>'Discount Impact on Profit(DONE)'!$A$4:$A$10</c:f>
              <c:strCache>
                <c:ptCount val="6"/>
                <c:pt idx="0">
                  <c:v>Paseo</c:v>
                </c:pt>
                <c:pt idx="1">
                  <c:v>Velo</c:v>
                </c:pt>
                <c:pt idx="2">
                  <c:v>VTT</c:v>
                </c:pt>
                <c:pt idx="3">
                  <c:v>Amarilla</c:v>
                </c:pt>
                <c:pt idx="4">
                  <c:v>Montana</c:v>
                </c:pt>
                <c:pt idx="5">
                  <c:v>Carretera</c:v>
                </c:pt>
              </c:strCache>
            </c:strRef>
          </c:cat>
          <c:val>
            <c:numRef>
              <c:f>'Discount Impact on Profit(DONE)'!$B$4:$B$10</c:f>
              <c:numCache>
                <c:formatCode>_(* #,##0_);_(* \(#,##0\);_(* "-"??_);_(@_)</c:formatCode>
                <c:ptCount val="6"/>
                <c:pt idx="0">
                  <c:v>2600518.0500000003</c:v>
                </c:pt>
                <c:pt idx="1">
                  <c:v>1576709.0350000004</c:v>
                </c:pt>
                <c:pt idx="2">
                  <c:v>1456612.4799999995</c:v>
                </c:pt>
                <c:pt idx="3">
                  <c:v>1290163.4400000002</c:v>
                </c:pt>
                <c:pt idx="4">
                  <c:v>1166526.6200000001</c:v>
                </c:pt>
                <c:pt idx="5">
                  <c:v>1126447.615</c:v>
                </c:pt>
              </c:numCache>
            </c:numRef>
          </c:val>
          <c:extLst>
            <c:ext xmlns:c16="http://schemas.microsoft.com/office/drawing/2014/chart" uri="{C3380CC4-5D6E-409C-BE32-E72D297353CC}">
              <c16:uniqueId val="{00000000-242B-4051-B4BF-627244D85FFC}"/>
            </c:ext>
          </c:extLst>
        </c:ser>
        <c:ser>
          <c:idx val="1"/>
          <c:order val="1"/>
          <c:tx>
            <c:strRef>
              <c:f>'Discount Impact on Profit(DONE)'!$C$3</c:f>
              <c:strCache>
                <c:ptCount val="1"/>
                <c:pt idx="0">
                  <c:v>Profit  </c:v>
                </c:pt>
              </c:strCache>
            </c:strRef>
          </c:tx>
          <c:spPr>
            <a:solidFill>
              <a:schemeClr val="accent2"/>
            </a:solidFill>
            <a:ln>
              <a:noFill/>
            </a:ln>
            <a:effectLst/>
          </c:spPr>
          <c:invertIfNegative val="0"/>
          <c:cat>
            <c:strRef>
              <c:f>'Discount Impact on Profit(DONE)'!$A$4:$A$10</c:f>
              <c:strCache>
                <c:ptCount val="6"/>
                <c:pt idx="0">
                  <c:v>Paseo</c:v>
                </c:pt>
                <c:pt idx="1">
                  <c:v>Velo</c:v>
                </c:pt>
                <c:pt idx="2">
                  <c:v>VTT</c:v>
                </c:pt>
                <c:pt idx="3">
                  <c:v>Amarilla</c:v>
                </c:pt>
                <c:pt idx="4">
                  <c:v>Montana</c:v>
                </c:pt>
                <c:pt idx="5">
                  <c:v>Carretera</c:v>
                </c:pt>
              </c:strCache>
            </c:strRef>
          </c:cat>
          <c:val>
            <c:numRef>
              <c:f>'Discount Impact on Profit(DONE)'!$C$4:$C$10</c:f>
              <c:numCache>
                <c:formatCode>_(* #,##0_);_(* \(#,##0\);_(* "-"??_);_(@_)</c:formatCode>
                <c:ptCount val="6"/>
                <c:pt idx="0">
                  <c:v>4797437.9499999993</c:v>
                </c:pt>
                <c:pt idx="1">
                  <c:v>2305992.4649999999</c:v>
                </c:pt>
                <c:pt idx="2">
                  <c:v>3034608.0200000005</c:v>
                </c:pt>
                <c:pt idx="3">
                  <c:v>2834756.06</c:v>
                </c:pt>
                <c:pt idx="4">
                  <c:v>2232160.88</c:v>
                </c:pt>
                <c:pt idx="5">
                  <c:v>1931469.8849999998</c:v>
                </c:pt>
              </c:numCache>
            </c:numRef>
          </c:val>
          <c:extLst>
            <c:ext xmlns:c16="http://schemas.microsoft.com/office/drawing/2014/chart" uri="{C3380CC4-5D6E-409C-BE32-E72D297353CC}">
              <c16:uniqueId val="{00000001-242B-4051-B4BF-627244D85FFC}"/>
            </c:ext>
          </c:extLst>
        </c:ser>
        <c:dLbls>
          <c:showLegendKey val="0"/>
          <c:showVal val="0"/>
          <c:showCatName val="0"/>
          <c:showSerName val="0"/>
          <c:showPercent val="0"/>
          <c:showBubbleSize val="0"/>
        </c:dLbls>
        <c:gapWidth val="219"/>
        <c:overlap val="-27"/>
        <c:axId val="1125773952"/>
        <c:axId val="1123291264"/>
      </c:barChart>
      <c:catAx>
        <c:axId val="112577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91264"/>
        <c:crosses val="autoZero"/>
        <c:auto val="1"/>
        <c:lblAlgn val="ctr"/>
        <c:lblOffset val="100"/>
        <c:noMultiLvlLbl val="0"/>
      </c:catAx>
      <c:valAx>
        <c:axId val="1123291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7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Project.xlsx]Discount Impact on Sales(DONE)!PivotTable1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Impact on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Impact on Sales(DONE)'!$B$3</c:f>
              <c:strCache>
                <c:ptCount val="1"/>
                <c:pt idx="0">
                  <c:v>Discounts </c:v>
                </c:pt>
              </c:strCache>
            </c:strRef>
          </c:tx>
          <c:spPr>
            <a:solidFill>
              <a:schemeClr val="accent1"/>
            </a:solidFill>
            <a:ln>
              <a:noFill/>
            </a:ln>
            <a:effectLst/>
          </c:spPr>
          <c:invertIfNegative val="0"/>
          <c:cat>
            <c:strRef>
              <c:f>'Discount Impact on Sales(DONE)'!$A$4:$A$10</c:f>
              <c:strCache>
                <c:ptCount val="6"/>
                <c:pt idx="0">
                  <c:v>Paseo</c:v>
                </c:pt>
                <c:pt idx="1">
                  <c:v>Velo</c:v>
                </c:pt>
                <c:pt idx="2">
                  <c:v>VTT</c:v>
                </c:pt>
                <c:pt idx="3">
                  <c:v>Amarilla</c:v>
                </c:pt>
                <c:pt idx="4">
                  <c:v>Montana</c:v>
                </c:pt>
                <c:pt idx="5">
                  <c:v>Carretera</c:v>
                </c:pt>
              </c:strCache>
            </c:strRef>
          </c:cat>
          <c:val>
            <c:numRef>
              <c:f>'Discount Impact on Sales(DONE)'!$B$4:$B$10</c:f>
              <c:numCache>
                <c:formatCode>_(* #,##0_);_(* \(#,##0\);_(* "-"??_);_(@_)</c:formatCode>
                <c:ptCount val="6"/>
                <c:pt idx="0">
                  <c:v>2600518.0500000003</c:v>
                </c:pt>
                <c:pt idx="1">
                  <c:v>1576709.0350000004</c:v>
                </c:pt>
                <c:pt idx="2">
                  <c:v>1456612.4799999995</c:v>
                </c:pt>
                <c:pt idx="3">
                  <c:v>1290163.4400000002</c:v>
                </c:pt>
                <c:pt idx="4">
                  <c:v>1166526.6200000001</c:v>
                </c:pt>
                <c:pt idx="5">
                  <c:v>1126447.615</c:v>
                </c:pt>
              </c:numCache>
            </c:numRef>
          </c:val>
          <c:extLst>
            <c:ext xmlns:c16="http://schemas.microsoft.com/office/drawing/2014/chart" uri="{C3380CC4-5D6E-409C-BE32-E72D297353CC}">
              <c16:uniqueId val="{00000000-B630-4EC6-98E5-81D3A55A9195}"/>
            </c:ext>
          </c:extLst>
        </c:ser>
        <c:ser>
          <c:idx val="1"/>
          <c:order val="1"/>
          <c:tx>
            <c:strRef>
              <c:f>'Discount Impact on Sales(DONE)'!$C$3</c:f>
              <c:strCache>
                <c:ptCount val="1"/>
                <c:pt idx="0">
                  <c:v>Sum of Sales</c:v>
                </c:pt>
              </c:strCache>
            </c:strRef>
          </c:tx>
          <c:spPr>
            <a:solidFill>
              <a:schemeClr val="accent2"/>
            </a:solidFill>
            <a:ln>
              <a:noFill/>
            </a:ln>
            <a:effectLst/>
          </c:spPr>
          <c:invertIfNegative val="0"/>
          <c:cat>
            <c:strRef>
              <c:f>'Discount Impact on Sales(DONE)'!$A$4:$A$10</c:f>
              <c:strCache>
                <c:ptCount val="6"/>
                <c:pt idx="0">
                  <c:v>Paseo</c:v>
                </c:pt>
                <c:pt idx="1">
                  <c:v>Velo</c:v>
                </c:pt>
                <c:pt idx="2">
                  <c:v>VTT</c:v>
                </c:pt>
                <c:pt idx="3">
                  <c:v>Amarilla</c:v>
                </c:pt>
                <c:pt idx="4">
                  <c:v>Montana</c:v>
                </c:pt>
                <c:pt idx="5">
                  <c:v>Carretera</c:v>
                </c:pt>
              </c:strCache>
            </c:strRef>
          </c:cat>
          <c:val>
            <c:numRef>
              <c:f>'Discount Impact on Sales(DONE)'!$C$4:$C$10</c:f>
              <c:numCache>
                <c:formatCode>_(* #,##0_);_(* \(#,##0\);_(* "-"??_);_(@_)</c:formatCode>
                <c:ptCount val="6"/>
                <c:pt idx="0">
                  <c:v>33011143.95000001</c:v>
                </c:pt>
                <c:pt idx="1">
                  <c:v>18250059.465</c:v>
                </c:pt>
                <c:pt idx="2">
                  <c:v>20511921.02</c:v>
                </c:pt>
                <c:pt idx="3">
                  <c:v>17779777.059999999</c:v>
                </c:pt>
                <c:pt idx="4">
                  <c:v>16132707.879999999</c:v>
                </c:pt>
                <c:pt idx="5">
                  <c:v>14234572.885000004</c:v>
                </c:pt>
              </c:numCache>
            </c:numRef>
          </c:val>
          <c:extLst>
            <c:ext xmlns:c16="http://schemas.microsoft.com/office/drawing/2014/chart" uri="{C3380CC4-5D6E-409C-BE32-E72D297353CC}">
              <c16:uniqueId val="{00000001-B630-4EC6-98E5-81D3A55A9195}"/>
            </c:ext>
          </c:extLst>
        </c:ser>
        <c:dLbls>
          <c:showLegendKey val="0"/>
          <c:showVal val="0"/>
          <c:showCatName val="0"/>
          <c:showSerName val="0"/>
          <c:showPercent val="0"/>
          <c:showBubbleSize val="0"/>
        </c:dLbls>
        <c:gapWidth val="219"/>
        <c:overlap val="-27"/>
        <c:axId val="1125773952"/>
        <c:axId val="1123291264"/>
      </c:barChart>
      <c:catAx>
        <c:axId val="112577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91264"/>
        <c:crosses val="autoZero"/>
        <c:auto val="1"/>
        <c:lblAlgn val="ctr"/>
        <c:lblOffset val="100"/>
        <c:noMultiLvlLbl val="0"/>
      </c:catAx>
      <c:valAx>
        <c:axId val="1123291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77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Project.xlsx]Profit by Product!PivotTable32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cat>
            <c:strRef>
              <c:f>'Profit by Product'!$A$4:$A$10</c:f>
              <c:strCache>
                <c:ptCount val="6"/>
                <c:pt idx="0">
                  <c:v>Carretera</c:v>
                </c:pt>
                <c:pt idx="1">
                  <c:v>Montana</c:v>
                </c:pt>
                <c:pt idx="2">
                  <c:v>Velo</c:v>
                </c:pt>
                <c:pt idx="3">
                  <c:v>Amarilla</c:v>
                </c:pt>
                <c:pt idx="4">
                  <c:v>VTT</c:v>
                </c:pt>
                <c:pt idx="5">
                  <c:v>Paseo</c:v>
                </c:pt>
              </c:strCache>
            </c:strRef>
          </c:cat>
          <c:val>
            <c:numRef>
              <c:f>'Profit by Product'!$B$4:$B$10</c:f>
              <c:numCache>
                <c:formatCode>_(* #,##0_);_(* \(#,##0\);_(* "-"??_);_(@_)</c:formatCode>
                <c:ptCount val="6"/>
                <c:pt idx="0">
                  <c:v>1931469.8849999998</c:v>
                </c:pt>
                <c:pt idx="1">
                  <c:v>2232160.88</c:v>
                </c:pt>
                <c:pt idx="2">
                  <c:v>2305992.4649999999</c:v>
                </c:pt>
                <c:pt idx="3">
                  <c:v>2834756.06</c:v>
                </c:pt>
                <c:pt idx="4">
                  <c:v>3034608.0200000005</c:v>
                </c:pt>
                <c:pt idx="5">
                  <c:v>4797437.9499999993</c:v>
                </c:pt>
              </c:numCache>
            </c:numRef>
          </c:val>
          <c:extLst>
            <c:ext xmlns:c16="http://schemas.microsoft.com/office/drawing/2014/chart" uri="{C3380CC4-5D6E-409C-BE32-E72D297353CC}">
              <c16:uniqueId val="{00000000-9002-467B-AE19-24E6804D4A72}"/>
            </c:ext>
          </c:extLst>
        </c:ser>
        <c:dLbls>
          <c:showLegendKey val="0"/>
          <c:showVal val="0"/>
          <c:showCatName val="0"/>
          <c:showSerName val="0"/>
          <c:showPercent val="0"/>
          <c:showBubbleSize val="0"/>
        </c:dLbls>
        <c:gapWidth val="182"/>
        <c:axId val="1340233712"/>
        <c:axId val="1128646416"/>
      </c:barChart>
      <c:catAx>
        <c:axId val="13402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46416"/>
        <c:crosses val="autoZero"/>
        <c:auto val="1"/>
        <c:lblAlgn val="ctr"/>
        <c:lblOffset val="100"/>
        <c:noMultiLvlLbl val="0"/>
      </c:catAx>
      <c:valAx>
        <c:axId val="112864641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3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Project.xlsx]Sales by Product!PivotTable1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Product'!$A$4:$A$10</c:f>
              <c:strCache>
                <c:ptCount val="6"/>
                <c:pt idx="0">
                  <c:v>Carretera</c:v>
                </c:pt>
                <c:pt idx="1">
                  <c:v>Montana</c:v>
                </c:pt>
                <c:pt idx="2">
                  <c:v>Amarilla</c:v>
                </c:pt>
                <c:pt idx="3">
                  <c:v>Velo</c:v>
                </c:pt>
                <c:pt idx="4">
                  <c:v>VTT</c:v>
                </c:pt>
                <c:pt idx="5">
                  <c:v>Paseo</c:v>
                </c:pt>
              </c:strCache>
            </c:strRef>
          </c:cat>
          <c:val>
            <c:numRef>
              <c:f>'Sales by Product'!$B$4:$B$10</c:f>
              <c:numCache>
                <c:formatCode>_([$$-409]* #,##0_);_([$$-409]* \(#,##0\);_([$$-409]* "-"??_);_(@_)</c:formatCode>
                <c:ptCount val="6"/>
                <c:pt idx="0">
                  <c:v>14234572.885000004</c:v>
                </c:pt>
                <c:pt idx="1">
                  <c:v>16132707.879999999</c:v>
                </c:pt>
                <c:pt idx="2">
                  <c:v>17779777.059999999</c:v>
                </c:pt>
                <c:pt idx="3">
                  <c:v>18250059.465</c:v>
                </c:pt>
                <c:pt idx="4">
                  <c:v>20511921.02</c:v>
                </c:pt>
                <c:pt idx="5">
                  <c:v>33011143.95000001</c:v>
                </c:pt>
              </c:numCache>
            </c:numRef>
          </c:val>
          <c:extLst>
            <c:ext xmlns:c16="http://schemas.microsoft.com/office/drawing/2014/chart" uri="{C3380CC4-5D6E-409C-BE32-E72D297353CC}">
              <c16:uniqueId val="{00000000-2F74-497F-B8B6-8B116E529CBF}"/>
            </c:ext>
          </c:extLst>
        </c:ser>
        <c:dLbls>
          <c:showLegendKey val="0"/>
          <c:showVal val="0"/>
          <c:showCatName val="0"/>
          <c:showSerName val="0"/>
          <c:showPercent val="0"/>
          <c:showBubbleSize val="0"/>
        </c:dLbls>
        <c:gapWidth val="182"/>
        <c:axId val="1047071903"/>
        <c:axId val="930767007"/>
      </c:barChart>
      <c:catAx>
        <c:axId val="10470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67007"/>
        <c:crosses val="autoZero"/>
        <c:auto val="1"/>
        <c:lblAlgn val="ctr"/>
        <c:lblOffset val="100"/>
        <c:noMultiLvlLbl val="0"/>
      </c:catAx>
      <c:valAx>
        <c:axId val="930767007"/>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7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12</xdr:col>
      <xdr:colOff>485360</xdr:colOff>
      <xdr:row>11</xdr:row>
      <xdr:rowOff>61413</xdr:rowOff>
    </xdr:to>
    <xdr:grpSp>
      <xdr:nvGrpSpPr>
        <xdr:cNvPr id="18" name="Group 17">
          <a:extLst>
            <a:ext uri="{FF2B5EF4-FFF2-40B4-BE49-F238E27FC236}">
              <a16:creationId xmlns:a16="http://schemas.microsoft.com/office/drawing/2014/main" id="{B6204DEB-4A31-4512-A9C9-0B64A2DBB91F}"/>
            </a:ext>
          </a:extLst>
        </xdr:cNvPr>
        <xdr:cNvGrpSpPr/>
      </xdr:nvGrpSpPr>
      <xdr:grpSpPr>
        <a:xfrm>
          <a:off x="7105952" y="725714"/>
          <a:ext cx="2904408" cy="1331413"/>
          <a:chOff x="7105952" y="725714"/>
          <a:chExt cx="2904408" cy="1331413"/>
        </a:xfrm>
      </xdr:grpSpPr>
      <xdr:sp macro="" textlink="">
        <xdr:nvSpPr>
          <xdr:cNvPr id="2" name="Rectangle 1">
            <a:extLst>
              <a:ext uri="{FF2B5EF4-FFF2-40B4-BE49-F238E27FC236}">
                <a16:creationId xmlns:a16="http://schemas.microsoft.com/office/drawing/2014/main" id="{BB2C5426-E71D-4C3C-8D2A-4405A22AE79F}"/>
              </a:ext>
            </a:extLst>
          </xdr:cNvPr>
          <xdr:cNvSpPr/>
        </xdr:nvSpPr>
        <xdr:spPr>
          <a:xfrm>
            <a:off x="7140299" y="725714"/>
            <a:ext cx="2694223" cy="1331413"/>
          </a:xfrm>
          <a:prstGeom prst="rect">
            <a:avLst/>
          </a:prstGeom>
          <a:solidFill>
            <a:srgbClr val="EAE0F4"/>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2596F42C-8507-46D5-836F-94F375D78CC6}"/>
              </a:ext>
            </a:extLst>
          </xdr:cNvPr>
          <xdr:cNvSpPr/>
        </xdr:nvSpPr>
        <xdr:spPr>
          <a:xfrm>
            <a:off x="7105952" y="901980"/>
            <a:ext cx="2167717" cy="63097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ysClr val="windowText" lastClr="000000"/>
                </a:solidFill>
              </a:rPr>
              <a:t> $119,920,181 </a:t>
            </a:r>
          </a:p>
        </xdr:txBody>
      </xdr:sp>
      <xdr:sp macro="" textlink="[1]KPI!$A$4">
        <xdr:nvSpPr>
          <xdr:cNvPr id="4" name="Rectangle 3">
            <a:extLst>
              <a:ext uri="{FF2B5EF4-FFF2-40B4-BE49-F238E27FC236}">
                <a16:creationId xmlns:a16="http://schemas.microsoft.com/office/drawing/2014/main" id="{671B24AE-C981-411B-BD20-D8E064193847}"/>
              </a:ext>
            </a:extLst>
          </xdr:cNvPr>
          <xdr:cNvSpPr/>
        </xdr:nvSpPr>
        <xdr:spPr>
          <a:xfrm>
            <a:off x="7213682" y="1384644"/>
            <a:ext cx="1642750" cy="63097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ysClr val="windowText" lastClr="000000"/>
                </a:solidFill>
              </a:rPr>
              <a:t>SALES</a:t>
            </a:r>
          </a:p>
        </xdr:txBody>
      </xdr:sp>
      <xdr:sp macro="" textlink="">
        <xdr:nvSpPr>
          <xdr:cNvPr id="5" name="TextBox 4">
            <a:extLst>
              <a:ext uri="{FF2B5EF4-FFF2-40B4-BE49-F238E27FC236}">
                <a16:creationId xmlns:a16="http://schemas.microsoft.com/office/drawing/2014/main" id="{680319A6-CD20-4194-A6BC-210A6C104C42}"/>
              </a:ext>
            </a:extLst>
          </xdr:cNvPr>
          <xdr:cNvSpPr txBox="1"/>
        </xdr:nvSpPr>
        <xdr:spPr>
          <a:xfrm>
            <a:off x="8976664" y="833841"/>
            <a:ext cx="1033696" cy="987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rgbClr val="B897D9"/>
                </a:solidFill>
              </a:rPr>
              <a:t>💰</a:t>
            </a:r>
          </a:p>
        </xdr:txBody>
      </xdr:sp>
    </xdr:grpSp>
    <xdr:clientData/>
  </xdr:twoCellAnchor>
  <xdr:twoCellAnchor>
    <xdr:from>
      <xdr:col>8</xdr:col>
      <xdr:colOff>26667</xdr:colOff>
      <xdr:row>13</xdr:row>
      <xdr:rowOff>0</xdr:rowOff>
    </xdr:from>
    <xdr:to>
      <xdr:col>12</xdr:col>
      <xdr:colOff>304982</xdr:colOff>
      <xdr:row>20</xdr:row>
      <xdr:rowOff>61413</xdr:rowOff>
    </xdr:to>
    <xdr:sp macro="" textlink="">
      <xdr:nvSpPr>
        <xdr:cNvPr id="6" name="Rectangle 5">
          <a:extLst>
            <a:ext uri="{FF2B5EF4-FFF2-40B4-BE49-F238E27FC236}">
              <a16:creationId xmlns:a16="http://schemas.microsoft.com/office/drawing/2014/main" id="{BE29AC67-9CC8-499F-A506-5022B9A9E684}"/>
            </a:ext>
          </a:extLst>
        </xdr:cNvPr>
        <xdr:cNvSpPr/>
      </xdr:nvSpPr>
      <xdr:spPr>
        <a:xfrm>
          <a:off x="7468867" y="2393950"/>
          <a:ext cx="2716715" cy="1350463"/>
        </a:xfrm>
        <a:prstGeom prst="rect">
          <a:avLst/>
        </a:prstGeom>
        <a:solidFill>
          <a:schemeClr val="accent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13</xdr:row>
      <xdr:rowOff>175984</xdr:rowOff>
    </xdr:from>
    <xdr:to>
      <xdr:col>11</xdr:col>
      <xdr:colOff>356629</xdr:colOff>
      <xdr:row>17</xdr:row>
      <xdr:rowOff>81242</xdr:rowOff>
    </xdr:to>
    <xdr:sp macro="" textlink="">
      <xdr:nvSpPr>
        <xdr:cNvPr id="7" name="Rectangle 6">
          <a:extLst>
            <a:ext uri="{FF2B5EF4-FFF2-40B4-BE49-F238E27FC236}">
              <a16:creationId xmlns:a16="http://schemas.microsoft.com/office/drawing/2014/main" id="{A6AB1509-8605-4C0C-B5CB-2FC71C67B6AA}"/>
            </a:ext>
          </a:extLst>
        </xdr:cNvPr>
        <xdr:cNvSpPr/>
      </xdr:nvSpPr>
      <xdr:spPr>
        <a:xfrm>
          <a:off x="7442200" y="2569934"/>
          <a:ext cx="2185429" cy="64185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chemeClr val="tx1"/>
              </a:solidFill>
            </a:rPr>
            <a:t> 1,132,082 </a:t>
          </a:r>
        </a:p>
      </xdr:txBody>
    </xdr:sp>
    <xdr:clientData/>
  </xdr:twoCellAnchor>
  <xdr:twoCellAnchor>
    <xdr:from>
      <xdr:col>8</xdr:col>
      <xdr:colOff>103084</xdr:colOff>
      <xdr:row>16</xdr:row>
      <xdr:rowOff>114362</xdr:rowOff>
    </xdr:from>
    <xdr:to>
      <xdr:col>11</xdr:col>
      <xdr:colOff>459712</xdr:colOff>
      <xdr:row>20</xdr:row>
      <xdr:rowOff>15676</xdr:rowOff>
    </xdr:to>
    <xdr:sp macro="" textlink="[1]KPI!$A$4">
      <xdr:nvSpPr>
        <xdr:cNvPr id="8" name="Rectangle 7">
          <a:extLst>
            <a:ext uri="{FF2B5EF4-FFF2-40B4-BE49-F238E27FC236}">
              <a16:creationId xmlns:a16="http://schemas.microsoft.com/office/drawing/2014/main" id="{9199DD00-7D02-4380-8C59-9997B59534F6}"/>
            </a:ext>
          </a:extLst>
        </xdr:cNvPr>
        <xdr:cNvSpPr/>
      </xdr:nvSpPr>
      <xdr:spPr>
        <a:xfrm>
          <a:off x="7545284" y="3060762"/>
          <a:ext cx="2185428" cy="63791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UNIT</a:t>
          </a:r>
          <a:r>
            <a:rPr lang="en-US" sz="1500" b="0" baseline="0">
              <a:solidFill>
                <a:schemeClr val="tx1"/>
              </a:solidFill>
            </a:rPr>
            <a:t> SOLD</a:t>
          </a:r>
          <a:endParaRPr lang="en-US" sz="1500" b="0">
            <a:solidFill>
              <a:schemeClr val="tx1"/>
            </a:solidFill>
          </a:endParaRPr>
        </a:p>
      </xdr:txBody>
    </xdr:sp>
    <xdr:clientData/>
  </xdr:twoCellAnchor>
  <xdr:twoCellAnchor>
    <xdr:from>
      <xdr:col>10</xdr:col>
      <xdr:colOff>515961</xdr:colOff>
      <xdr:row>13</xdr:row>
      <xdr:rowOff>107844</xdr:rowOff>
    </xdr:from>
    <xdr:to>
      <xdr:col>12</xdr:col>
      <xdr:colOff>592641</xdr:colOff>
      <xdr:row>19</xdr:row>
      <xdr:rowOff>126527</xdr:rowOff>
    </xdr:to>
    <xdr:sp macro="" textlink="">
      <xdr:nvSpPr>
        <xdr:cNvPr id="9" name="TextBox 8">
          <a:extLst>
            <a:ext uri="{FF2B5EF4-FFF2-40B4-BE49-F238E27FC236}">
              <a16:creationId xmlns:a16="http://schemas.microsoft.com/office/drawing/2014/main" id="{8318DA66-5F65-4E6D-9DB5-1CD6162022F0}"/>
            </a:ext>
          </a:extLst>
        </xdr:cNvPr>
        <xdr:cNvSpPr txBox="1"/>
      </xdr:nvSpPr>
      <xdr:spPr>
        <a:xfrm>
          <a:off x="9177361" y="2501794"/>
          <a:ext cx="1295880" cy="11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2">
                  <a:lumMod val="75000"/>
                </a:schemeClr>
              </a:solidFill>
              <a:effectLst/>
              <a:latin typeface="+mn-lt"/>
              <a:ea typeface="+mn-ea"/>
              <a:cs typeface="+mn-cs"/>
            </a:rPr>
            <a:t>📦</a:t>
          </a:r>
          <a:endParaRPr lang="en-US" sz="5000" b="1">
            <a:solidFill>
              <a:schemeClr val="accent2">
                <a:lumMod val="75000"/>
              </a:schemeClr>
            </a:solidFill>
          </a:endParaRPr>
        </a:p>
      </xdr:txBody>
    </xdr:sp>
    <xdr:clientData/>
  </xdr:twoCellAnchor>
  <xdr:twoCellAnchor>
    <xdr:from>
      <xdr:col>8</xdr:col>
      <xdr:colOff>0</xdr:colOff>
      <xdr:row>23</xdr:row>
      <xdr:rowOff>0</xdr:rowOff>
    </xdr:from>
    <xdr:to>
      <xdr:col>13</xdr:col>
      <xdr:colOff>32066</xdr:colOff>
      <xdr:row>30</xdr:row>
      <xdr:rowOff>61413</xdr:rowOff>
    </xdr:to>
    <xdr:grpSp>
      <xdr:nvGrpSpPr>
        <xdr:cNvPr id="19" name="Group 18">
          <a:extLst>
            <a:ext uri="{FF2B5EF4-FFF2-40B4-BE49-F238E27FC236}">
              <a16:creationId xmlns:a16="http://schemas.microsoft.com/office/drawing/2014/main" id="{FD3AD077-FCC5-48C4-A573-AFD471E4B902}"/>
            </a:ext>
          </a:extLst>
        </xdr:cNvPr>
        <xdr:cNvGrpSpPr/>
      </xdr:nvGrpSpPr>
      <xdr:grpSpPr>
        <a:xfrm>
          <a:off x="7105952" y="4172857"/>
          <a:ext cx="3055876" cy="1331413"/>
          <a:chOff x="7105952" y="4172857"/>
          <a:chExt cx="3055876" cy="1331413"/>
        </a:xfrm>
      </xdr:grpSpPr>
      <xdr:sp macro="" textlink="">
        <xdr:nvSpPr>
          <xdr:cNvPr id="10" name="Rectangle 9">
            <a:extLst>
              <a:ext uri="{FF2B5EF4-FFF2-40B4-BE49-F238E27FC236}">
                <a16:creationId xmlns:a16="http://schemas.microsoft.com/office/drawing/2014/main" id="{FD71E9ED-AA61-400C-83D8-B88D06395A9A}"/>
              </a:ext>
            </a:extLst>
          </xdr:cNvPr>
          <xdr:cNvSpPr/>
        </xdr:nvSpPr>
        <xdr:spPr>
          <a:xfrm>
            <a:off x="7141992" y="4172857"/>
            <a:ext cx="2697363" cy="1331413"/>
          </a:xfrm>
          <a:prstGeom prst="rect">
            <a:avLst/>
          </a:prstGeom>
          <a:solidFill>
            <a:schemeClr val="accent1">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8EFE7D4A-0771-480F-9144-3EFCC26531B9}"/>
              </a:ext>
            </a:extLst>
          </xdr:cNvPr>
          <xdr:cNvSpPr/>
        </xdr:nvSpPr>
        <xdr:spPr>
          <a:xfrm>
            <a:off x="7105952" y="4335367"/>
            <a:ext cx="2170915" cy="63097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chemeClr val="tx1"/>
                </a:solidFill>
              </a:rPr>
              <a:t> $17,136,425 </a:t>
            </a:r>
          </a:p>
        </xdr:txBody>
      </xdr:sp>
      <xdr:sp macro="" textlink="[1]KPI!$A$4">
        <xdr:nvSpPr>
          <xdr:cNvPr id="12" name="Rectangle 11">
            <a:extLst>
              <a:ext uri="{FF2B5EF4-FFF2-40B4-BE49-F238E27FC236}">
                <a16:creationId xmlns:a16="http://schemas.microsoft.com/office/drawing/2014/main" id="{7095DAEA-D0D9-4D27-8E2F-E06680F5CACF}"/>
              </a:ext>
            </a:extLst>
          </xdr:cNvPr>
          <xdr:cNvSpPr/>
        </xdr:nvSpPr>
        <xdr:spPr>
          <a:xfrm>
            <a:off x="7217808" y="4814087"/>
            <a:ext cx="1570309" cy="6309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PROFIT</a:t>
            </a:r>
          </a:p>
        </xdr:txBody>
      </xdr:sp>
      <xdr:sp macro="" textlink="">
        <xdr:nvSpPr>
          <xdr:cNvPr id="13" name="TextBox 12">
            <a:extLst>
              <a:ext uri="{FF2B5EF4-FFF2-40B4-BE49-F238E27FC236}">
                <a16:creationId xmlns:a16="http://schemas.microsoft.com/office/drawing/2014/main" id="{D16F2C43-677D-489A-9CB7-EB29C4FF4861}"/>
              </a:ext>
            </a:extLst>
          </xdr:cNvPr>
          <xdr:cNvSpPr txBox="1"/>
        </xdr:nvSpPr>
        <xdr:spPr>
          <a:xfrm>
            <a:off x="8880462" y="4228345"/>
            <a:ext cx="1281366" cy="1107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1">
                    <a:lumMod val="75000"/>
                  </a:schemeClr>
                </a:solidFill>
                <a:effectLst/>
                <a:latin typeface="+mn-lt"/>
                <a:ea typeface="+mn-ea"/>
                <a:cs typeface="+mn-cs"/>
              </a:rPr>
              <a:t>📈</a:t>
            </a:r>
            <a:endParaRPr lang="en-US" sz="5000" b="1">
              <a:solidFill>
                <a:schemeClr val="accent1">
                  <a:lumMod val="75000"/>
                </a:schemeClr>
              </a:solidFill>
            </a:endParaRPr>
          </a:p>
        </xdr:txBody>
      </xdr:sp>
    </xdr:grpSp>
    <xdr:clientData/>
  </xdr:twoCellAnchor>
  <xdr:twoCellAnchor>
    <xdr:from>
      <xdr:col>8</xdr:col>
      <xdr:colOff>96127</xdr:colOff>
      <xdr:row>34</xdr:row>
      <xdr:rowOff>0</xdr:rowOff>
    </xdr:from>
    <xdr:to>
      <xdr:col>12</xdr:col>
      <xdr:colOff>374442</xdr:colOff>
      <xdr:row>41</xdr:row>
      <xdr:rowOff>61413</xdr:rowOff>
    </xdr:to>
    <xdr:sp macro="" textlink="">
      <xdr:nvSpPr>
        <xdr:cNvPr id="14" name="Rectangle 13">
          <a:extLst>
            <a:ext uri="{FF2B5EF4-FFF2-40B4-BE49-F238E27FC236}">
              <a16:creationId xmlns:a16="http://schemas.microsoft.com/office/drawing/2014/main" id="{BBFB8E2D-C555-4219-85F7-CC6D3D4C9655}"/>
            </a:ext>
          </a:extLst>
        </xdr:cNvPr>
        <xdr:cNvSpPr/>
      </xdr:nvSpPr>
      <xdr:spPr>
        <a:xfrm>
          <a:off x="7220827" y="6261100"/>
          <a:ext cx="2716715" cy="1350463"/>
        </a:xfrm>
        <a:prstGeom prst="rect">
          <a:avLst/>
        </a:prstGeom>
        <a:solidFill>
          <a:schemeClr val="accent6">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xdr:colOff>
      <xdr:row>34</xdr:row>
      <xdr:rowOff>104838</xdr:rowOff>
    </xdr:from>
    <xdr:to>
      <xdr:col>11</xdr:col>
      <xdr:colOff>458229</xdr:colOff>
      <xdr:row>38</xdr:row>
      <xdr:rowOff>10098</xdr:rowOff>
    </xdr:to>
    <xdr:sp macro="" textlink="[1]KPI!$E$4">
      <xdr:nvSpPr>
        <xdr:cNvPr id="15" name="Rectangle 14">
          <a:extLst>
            <a:ext uri="{FF2B5EF4-FFF2-40B4-BE49-F238E27FC236}">
              <a16:creationId xmlns:a16="http://schemas.microsoft.com/office/drawing/2014/main" id="{DC4E26D2-2D4F-4F7D-8AF4-1307133FF738}"/>
            </a:ext>
          </a:extLst>
        </xdr:cNvPr>
        <xdr:cNvSpPr/>
      </xdr:nvSpPr>
      <xdr:spPr>
        <a:xfrm>
          <a:off x="7226300" y="6365938"/>
          <a:ext cx="2185429" cy="6418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2900" b="1" i="0" u="none" strike="noStrike">
              <a:solidFill>
                <a:schemeClr val="tx1"/>
              </a:solidFill>
              <a:latin typeface="Calibri"/>
              <a:ea typeface="+mn-ea"/>
              <a:cs typeface="Calibri"/>
            </a:rPr>
            <a:t>7%</a:t>
          </a:r>
        </a:p>
      </xdr:txBody>
    </xdr:sp>
    <xdr:clientData/>
  </xdr:twoCellAnchor>
  <xdr:twoCellAnchor>
    <xdr:from>
      <xdr:col>8</xdr:col>
      <xdr:colOff>124298</xdr:colOff>
      <xdr:row>37</xdr:row>
      <xdr:rowOff>51973</xdr:rowOff>
    </xdr:from>
    <xdr:to>
      <xdr:col>10</xdr:col>
      <xdr:colOff>485083</xdr:colOff>
      <xdr:row>40</xdr:row>
      <xdr:rowOff>141382</xdr:rowOff>
    </xdr:to>
    <xdr:sp macro="" textlink="[1]KPI!$A$4">
      <xdr:nvSpPr>
        <xdr:cNvPr id="16" name="Rectangle 15">
          <a:extLst>
            <a:ext uri="{FF2B5EF4-FFF2-40B4-BE49-F238E27FC236}">
              <a16:creationId xmlns:a16="http://schemas.microsoft.com/office/drawing/2014/main" id="{F893AAFA-6381-4E81-B81F-A2AEEEE608F0}"/>
            </a:ext>
          </a:extLst>
        </xdr:cNvPr>
        <xdr:cNvSpPr/>
      </xdr:nvSpPr>
      <xdr:spPr>
        <a:xfrm>
          <a:off x="7566498" y="6865523"/>
          <a:ext cx="1579985" cy="64185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AVG</a:t>
          </a:r>
          <a:r>
            <a:rPr lang="en-US" sz="1500" b="0" baseline="0">
              <a:solidFill>
                <a:schemeClr val="tx1"/>
              </a:solidFill>
            </a:rPr>
            <a:t> OF DISCOUNTS</a:t>
          </a:r>
          <a:endParaRPr lang="en-US" sz="1500" b="0">
            <a:solidFill>
              <a:schemeClr val="tx1"/>
            </a:solidFill>
          </a:endParaRPr>
        </a:p>
      </xdr:txBody>
    </xdr:sp>
    <xdr:clientData/>
  </xdr:twoCellAnchor>
  <xdr:twoCellAnchor>
    <xdr:from>
      <xdr:col>10</xdr:col>
      <xdr:colOff>564985</xdr:colOff>
      <xdr:row>34</xdr:row>
      <xdr:rowOff>4167</xdr:rowOff>
    </xdr:from>
    <xdr:to>
      <xdr:col>13</xdr:col>
      <xdr:colOff>327780</xdr:colOff>
      <xdr:row>47</xdr:row>
      <xdr:rowOff>75614</xdr:rowOff>
    </xdr:to>
    <xdr:sp macro="" textlink="">
      <xdr:nvSpPr>
        <xdr:cNvPr id="17" name="TextBox 16">
          <a:extLst>
            <a:ext uri="{FF2B5EF4-FFF2-40B4-BE49-F238E27FC236}">
              <a16:creationId xmlns:a16="http://schemas.microsoft.com/office/drawing/2014/main" id="{63F43605-C942-43F7-8520-73F4A94204DA}"/>
            </a:ext>
          </a:extLst>
        </xdr:cNvPr>
        <xdr:cNvSpPr txBox="1"/>
      </xdr:nvSpPr>
      <xdr:spPr>
        <a:xfrm>
          <a:off x="9226385" y="6265267"/>
          <a:ext cx="1591595" cy="246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6">
                  <a:lumMod val="75000"/>
                </a:schemeClr>
              </a:solidFill>
              <a:effectLst/>
              <a:latin typeface="+mn-lt"/>
              <a:ea typeface="+mn-ea"/>
              <a:cs typeface="+mn-cs"/>
            </a:rPr>
            <a:t>🛍</a:t>
          </a:r>
          <a:endParaRPr lang="en-US" sz="5000" b="1">
            <a:solidFill>
              <a:schemeClr val="accent6">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547232</xdr:colOff>
      <xdr:row>9</xdr:row>
      <xdr:rowOff>142825</xdr:rowOff>
    </xdr:from>
    <xdr:to>
      <xdr:col>24</xdr:col>
      <xdr:colOff>445852</xdr:colOff>
      <xdr:row>61</xdr:row>
      <xdr:rowOff>100874</xdr:rowOff>
    </xdr:to>
    <xdr:grpSp>
      <xdr:nvGrpSpPr>
        <xdr:cNvPr id="7" name="Group 6">
          <a:extLst>
            <a:ext uri="{FF2B5EF4-FFF2-40B4-BE49-F238E27FC236}">
              <a16:creationId xmlns:a16="http://schemas.microsoft.com/office/drawing/2014/main" id="{DAA6DEB4-D8C0-4507-A353-E976196E81F1}"/>
            </a:ext>
          </a:extLst>
        </xdr:cNvPr>
        <xdr:cNvGrpSpPr/>
      </xdr:nvGrpSpPr>
      <xdr:grpSpPr>
        <a:xfrm>
          <a:off x="547232" y="1775682"/>
          <a:ext cx="14412906" cy="9392335"/>
          <a:chOff x="547232" y="345918"/>
          <a:chExt cx="14630620" cy="9313716"/>
        </a:xfrm>
      </xdr:grpSpPr>
      <xdr:graphicFrame macro="">
        <xdr:nvGraphicFramePr>
          <xdr:cNvPr id="2" name="SalesOverTime">
            <a:extLst>
              <a:ext uri="{FF2B5EF4-FFF2-40B4-BE49-F238E27FC236}">
                <a16:creationId xmlns:a16="http://schemas.microsoft.com/office/drawing/2014/main" id="{70B5A1AE-800E-44CF-9650-B6224DB94249}"/>
              </a:ext>
            </a:extLst>
          </xdr:cNvPr>
          <xdr:cNvGraphicFramePr>
            <a:graphicFrameLocks/>
          </xdr:cNvGraphicFramePr>
        </xdr:nvGraphicFramePr>
        <xdr:xfrm>
          <a:off x="547232" y="345918"/>
          <a:ext cx="14596843" cy="355657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Sales by Segment">
            <a:extLst>
              <a:ext uri="{FF2B5EF4-FFF2-40B4-BE49-F238E27FC236}">
                <a16:creationId xmlns:a16="http://schemas.microsoft.com/office/drawing/2014/main" id="{12F57BFB-D284-4DF7-9EBE-B536BA6585FC}"/>
              </a:ext>
            </a:extLst>
          </xdr:cNvPr>
          <xdr:cNvGraphicFramePr>
            <a:graphicFrameLocks/>
          </xdr:cNvGraphicFramePr>
        </xdr:nvGraphicFramePr>
        <xdr:xfrm>
          <a:off x="11010656" y="4048806"/>
          <a:ext cx="4140174" cy="274997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9C52E7E1-5BC0-4893-9971-ABBF0503DDDB}"/>
              </a:ext>
            </a:extLst>
          </xdr:cNvPr>
          <xdr:cNvGraphicFramePr>
            <a:graphicFrameLocks/>
          </xdr:cNvGraphicFramePr>
        </xdr:nvGraphicFramePr>
        <xdr:xfrm>
          <a:off x="553875" y="6913548"/>
          <a:ext cx="5565092" cy="274608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Sales by Country">
            <a:extLst>
              <a:ext uri="{FF2B5EF4-FFF2-40B4-BE49-F238E27FC236}">
                <a16:creationId xmlns:a16="http://schemas.microsoft.com/office/drawing/2014/main" id="{40984746-DA3A-4CFD-8C3C-AE4163C8472D}"/>
              </a:ext>
            </a:extLst>
          </xdr:cNvPr>
          <xdr:cNvGraphicFramePr>
            <a:graphicFrameLocks/>
          </xdr:cNvGraphicFramePr>
        </xdr:nvGraphicFramePr>
        <xdr:xfrm>
          <a:off x="6241109" y="6902235"/>
          <a:ext cx="4639909" cy="274608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2" name="Chart 11">
            <a:extLst>
              <a:ext uri="{FF2B5EF4-FFF2-40B4-BE49-F238E27FC236}">
                <a16:creationId xmlns:a16="http://schemas.microsoft.com/office/drawing/2014/main" id="{DB86DB94-5305-4C9F-926D-6EBBAF98695D}"/>
              </a:ext>
            </a:extLst>
          </xdr:cNvPr>
          <xdr:cNvGraphicFramePr>
            <a:graphicFrameLocks/>
          </xdr:cNvGraphicFramePr>
        </xdr:nvGraphicFramePr>
        <xdr:xfrm>
          <a:off x="11015552" y="6901812"/>
          <a:ext cx="4162300" cy="274567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3" name="Chart 12">
            <a:extLst>
              <a:ext uri="{FF2B5EF4-FFF2-40B4-BE49-F238E27FC236}">
                <a16:creationId xmlns:a16="http://schemas.microsoft.com/office/drawing/2014/main" id="{CDD36FD1-8EC4-4C5F-BB5B-AA8EB538EF30}"/>
              </a:ext>
            </a:extLst>
          </xdr:cNvPr>
          <xdr:cNvGraphicFramePr>
            <a:graphicFrameLocks/>
          </xdr:cNvGraphicFramePr>
        </xdr:nvGraphicFramePr>
        <xdr:xfrm>
          <a:off x="6242568" y="4036110"/>
          <a:ext cx="4625880" cy="275591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5F03F0F7-6B9B-4E61-9F88-B99EA949E3B6}"/>
              </a:ext>
            </a:extLst>
          </xdr:cNvPr>
          <xdr:cNvGraphicFramePr>
            <a:graphicFrameLocks/>
          </xdr:cNvGraphicFramePr>
        </xdr:nvGraphicFramePr>
        <xdr:xfrm>
          <a:off x="550627" y="4035077"/>
          <a:ext cx="5555673" cy="275010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23</xdr:col>
      <xdr:colOff>293876</xdr:colOff>
      <xdr:row>38</xdr:row>
      <xdr:rowOff>84668</xdr:rowOff>
    </xdr:from>
    <xdr:to>
      <xdr:col>24</xdr:col>
      <xdr:colOff>326949</xdr:colOff>
      <xdr:row>41</xdr:row>
      <xdr:rowOff>39688</xdr:rowOff>
    </xdr:to>
    <xdr:sp macro="" textlink="">
      <xdr:nvSpPr>
        <xdr:cNvPr id="9" name="Speech Bubble: Rectangle 8">
          <a:extLst>
            <a:ext uri="{FF2B5EF4-FFF2-40B4-BE49-F238E27FC236}">
              <a16:creationId xmlns:a16="http://schemas.microsoft.com/office/drawing/2014/main" id="{01CAA667-78A0-434E-8A5D-204EC795DDB8}"/>
            </a:ext>
          </a:extLst>
        </xdr:cNvPr>
        <xdr:cNvSpPr/>
      </xdr:nvSpPr>
      <xdr:spPr>
        <a:xfrm>
          <a:off x="14203400" y="6978954"/>
          <a:ext cx="637835" cy="499305"/>
        </a:xfrm>
        <a:prstGeom prst="wedgeRectCallou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solidFill>
                <a:srgbClr val="C00000"/>
              </a:solidFill>
            </a:rPr>
            <a:t>⚠️</a:t>
          </a:r>
          <a:r>
            <a:rPr lang="en-US" sz="600">
              <a:solidFill>
                <a:schemeClr val="tx1"/>
              </a:solidFill>
            </a:rPr>
            <a:t>Enterprise segment shows a loss of $614,546. </a:t>
          </a:r>
        </a:p>
      </xdr:txBody>
    </xdr:sp>
    <xdr:clientData/>
  </xdr:twoCellAnchor>
  <xdr:twoCellAnchor>
    <xdr:from>
      <xdr:col>0</xdr:col>
      <xdr:colOff>524121</xdr:colOff>
      <xdr:row>1</xdr:row>
      <xdr:rowOff>100794</xdr:rowOff>
    </xdr:from>
    <xdr:to>
      <xdr:col>5</xdr:col>
      <xdr:colOff>404719</xdr:colOff>
      <xdr:row>8</xdr:row>
      <xdr:rowOff>162207</xdr:rowOff>
    </xdr:to>
    <xdr:grpSp>
      <xdr:nvGrpSpPr>
        <xdr:cNvPr id="14" name="Group 13">
          <a:extLst>
            <a:ext uri="{FF2B5EF4-FFF2-40B4-BE49-F238E27FC236}">
              <a16:creationId xmlns:a16="http://schemas.microsoft.com/office/drawing/2014/main" id="{16DAC5F7-07E0-4960-B26D-4053615EA66A}"/>
            </a:ext>
          </a:extLst>
        </xdr:cNvPr>
        <xdr:cNvGrpSpPr/>
      </xdr:nvGrpSpPr>
      <xdr:grpSpPr>
        <a:xfrm>
          <a:off x="524121" y="282223"/>
          <a:ext cx="2904408" cy="1331413"/>
          <a:chOff x="7105952" y="725714"/>
          <a:chExt cx="2904408" cy="1331413"/>
        </a:xfrm>
      </xdr:grpSpPr>
      <xdr:sp macro="" textlink="">
        <xdr:nvSpPr>
          <xdr:cNvPr id="15" name="Rectangle 14">
            <a:extLst>
              <a:ext uri="{FF2B5EF4-FFF2-40B4-BE49-F238E27FC236}">
                <a16:creationId xmlns:a16="http://schemas.microsoft.com/office/drawing/2014/main" id="{A3BF92C1-47B2-4766-A243-E20BC40517A4}"/>
              </a:ext>
            </a:extLst>
          </xdr:cNvPr>
          <xdr:cNvSpPr/>
        </xdr:nvSpPr>
        <xdr:spPr>
          <a:xfrm>
            <a:off x="7140299" y="725714"/>
            <a:ext cx="2694223" cy="1331413"/>
          </a:xfrm>
          <a:prstGeom prst="rect">
            <a:avLst/>
          </a:prstGeom>
          <a:solidFill>
            <a:srgbClr val="EAE0F4"/>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3DE62577-9BBC-45C9-9291-55A44EAC568B}"/>
              </a:ext>
            </a:extLst>
          </xdr:cNvPr>
          <xdr:cNvSpPr/>
        </xdr:nvSpPr>
        <xdr:spPr>
          <a:xfrm>
            <a:off x="7105952" y="901980"/>
            <a:ext cx="2167717" cy="63097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ysClr val="windowText" lastClr="000000"/>
                </a:solidFill>
              </a:rPr>
              <a:t> $119,920,181 </a:t>
            </a:r>
          </a:p>
        </xdr:txBody>
      </xdr:sp>
      <xdr:sp macro="" textlink="[1]KPI!$A$4">
        <xdr:nvSpPr>
          <xdr:cNvPr id="17" name="Rectangle 16">
            <a:extLst>
              <a:ext uri="{FF2B5EF4-FFF2-40B4-BE49-F238E27FC236}">
                <a16:creationId xmlns:a16="http://schemas.microsoft.com/office/drawing/2014/main" id="{FB4B9ABA-3109-4837-9161-703FB45415B7}"/>
              </a:ext>
            </a:extLst>
          </xdr:cNvPr>
          <xdr:cNvSpPr/>
        </xdr:nvSpPr>
        <xdr:spPr>
          <a:xfrm>
            <a:off x="7213682" y="1384644"/>
            <a:ext cx="1642750" cy="63097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ysClr val="windowText" lastClr="000000"/>
                </a:solidFill>
              </a:rPr>
              <a:t>SALES</a:t>
            </a:r>
          </a:p>
        </xdr:txBody>
      </xdr:sp>
      <xdr:sp macro="" textlink="">
        <xdr:nvSpPr>
          <xdr:cNvPr id="18" name="TextBox 17">
            <a:extLst>
              <a:ext uri="{FF2B5EF4-FFF2-40B4-BE49-F238E27FC236}">
                <a16:creationId xmlns:a16="http://schemas.microsoft.com/office/drawing/2014/main" id="{2AEBCCDB-9B19-4EEC-8B9B-8DC8F3354E4D}"/>
              </a:ext>
            </a:extLst>
          </xdr:cNvPr>
          <xdr:cNvSpPr txBox="1"/>
        </xdr:nvSpPr>
        <xdr:spPr>
          <a:xfrm>
            <a:off x="8976664" y="833841"/>
            <a:ext cx="1033696" cy="987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rgbClr val="B897D9"/>
                </a:solidFill>
              </a:rPr>
              <a:t>💰</a:t>
            </a:r>
          </a:p>
        </xdr:txBody>
      </xdr:sp>
    </xdr:grpSp>
    <xdr:clientData/>
  </xdr:twoCellAnchor>
  <xdr:twoCellAnchor>
    <xdr:from>
      <xdr:col>5</xdr:col>
      <xdr:colOff>453571</xdr:colOff>
      <xdr:row>1</xdr:row>
      <xdr:rowOff>120952</xdr:rowOff>
    </xdr:from>
    <xdr:to>
      <xdr:col>10</xdr:col>
      <xdr:colOff>485638</xdr:colOff>
      <xdr:row>9</xdr:row>
      <xdr:rowOff>937</xdr:rowOff>
    </xdr:to>
    <xdr:grpSp>
      <xdr:nvGrpSpPr>
        <xdr:cNvPr id="19" name="Group 18">
          <a:extLst>
            <a:ext uri="{FF2B5EF4-FFF2-40B4-BE49-F238E27FC236}">
              <a16:creationId xmlns:a16="http://schemas.microsoft.com/office/drawing/2014/main" id="{C42AD6CD-4166-4CAA-9A16-6EAF7DE03442}"/>
            </a:ext>
          </a:extLst>
        </xdr:cNvPr>
        <xdr:cNvGrpSpPr/>
      </xdr:nvGrpSpPr>
      <xdr:grpSpPr>
        <a:xfrm>
          <a:off x="3477381" y="302381"/>
          <a:ext cx="3055876" cy="1331413"/>
          <a:chOff x="7105952" y="4172857"/>
          <a:chExt cx="3055876" cy="1331413"/>
        </a:xfrm>
      </xdr:grpSpPr>
      <xdr:sp macro="" textlink="">
        <xdr:nvSpPr>
          <xdr:cNvPr id="20" name="Rectangle 19">
            <a:extLst>
              <a:ext uri="{FF2B5EF4-FFF2-40B4-BE49-F238E27FC236}">
                <a16:creationId xmlns:a16="http://schemas.microsoft.com/office/drawing/2014/main" id="{F05F3296-8011-4DFC-A587-E63D878CCED0}"/>
              </a:ext>
            </a:extLst>
          </xdr:cNvPr>
          <xdr:cNvSpPr/>
        </xdr:nvSpPr>
        <xdr:spPr>
          <a:xfrm>
            <a:off x="7141992" y="4172857"/>
            <a:ext cx="2697363" cy="1331413"/>
          </a:xfrm>
          <a:prstGeom prst="rect">
            <a:avLst/>
          </a:prstGeom>
          <a:solidFill>
            <a:schemeClr val="accent1">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CD4835E0-047F-4F78-B88C-BF602FF202F3}"/>
              </a:ext>
            </a:extLst>
          </xdr:cNvPr>
          <xdr:cNvSpPr/>
        </xdr:nvSpPr>
        <xdr:spPr>
          <a:xfrm>
            <a:off x="7105952" y="4335367"/>
            <a:ext cx="2170915" cy="63097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chemeClr val="tx1"/>
                </a:solidFill>
              </a:rPr>
              <a:t> $17,136,425 </a:t>
            </a:r>
          </a:p>
        </xdr:txBody>
      </xdr:sp>
      <xdr:sp macro="" textlink="[1]KPI!$A$4">
        <xdr:nvSpPr>
          <xdr:cNvPr id="22" name="Rectangle 21">
            <a:extLst>
              <a:ext uri="{FF2B5EF4-FFF2-40B4-BE49-F238E27FC236}">
                <a16:creationId xmlns:a16="http://schemas.microsoft.com/office/drawing/2014/main" id="{67C17F41-451C-4FBB-8123-39AB85F6088F}"/>
              </a:ext>
            </a:extLst>
          </xdr:cNvPr>
          <xdr:cNvSpPr/>
        </xdr:nvSpPr>
        <xdr:spPr>
          <a:xfrm>
            <a:off x="7217808" y="4814087"/>
            <a:ext cx="1570309" cy="6309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PROFIT</a:t>
            </a:r>
          </a:p>
        </xdr:txBody>
      </xdr:sp>
      <xdr:sp macro="" textlink="">
        <xdr:nvSpPr>
          <xdr:cNvPr id="23" name="TextBox 22">
            <a:extLst>
              <a:ext uri="{FF2B5EF4-FFF2-40B4-BE49-F238E27FC236}">
                <a16:creationId xmlns:a16="http://schemas.microsoft.com/office/drawing/2014/main" id="{D662EE93-CD25-4BCF-A02C-6249D0D9028A}"/>
              </a:ext>
            </a:extLst>
          </xdr:cNvPr>
          <xdr:cNvSpPr txBox="1"/>
        </xdr:nvSpPr>
        <xdr:spPr>
          <a:xfrm>
            <a:off x="8880462" y="4228345"/>
            <a:ext cx="1281366" cy="1107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1">
                    <a:lumMod val="75000"/>
                  </a:schemeClr>
                </a:solidFill>
                <a:effectLst/>
                <a:latin typeface="+mn-lt"/>
                <a:ea typeface="+mn-ea"/>
                <a:cs typeface="+mn-cs"/>
              </a:rPr>
              <a:t>📈</a:t>
            </a:r>
            <a:endParaRPr lang="en-US" sz="5000" b="1">
              <a:solidFill>
                <a:schemeClr val="accent1">
                  <a:lumMod val="75000"/>
                </a:schemeClr>
              </a:solidFill>
            </a:endParaRPr>
          </a:p>
        </xdr:txBody>
      </xdr:sp>
    </xdr:grpSp>
    <xdr:clientData/>
  </xdr:twoCellAnchor>
  <xdr:twoCellAnchor>
    <xdr:from>
      <xdr:col>10</xdr:col>
      <xdr:colOff>419762</xdr:colOff>
      <xdr:row>1</xdr:row>
      <xdr:rowOff>131031</xdr:rowOff>
    </xdr:from>
    <xdr:to>
      <xdr:col>15</xdr:col>
      <xdr:colOff>93315</xdr:colOff>
      <xdr:row>9</xdr:row>
      <xdr:rowOff>11016</xdr:rowOff>
    </xdr:to>
    <xdr:sp macro="" textlink="">
      <xdr:nvSpPr>
        <xdr:cNvPr id="24" name="Rectangle 23">
          <a:extLst>
            <a:ext uri="{FF2B5EF4-FFF2-40B4-BE49-F238E27FC236}">
              <a16:creationId xmlns:a16="http://schemas.microsoft.com/office/drawing/2014/main" id="{F4A10AFB-3597-488B-8CF1-372A72B825D7}"/>
            </a:ext>
          </a:extLst>
        </xdr:cNvPr>
        <xdr:cNvSpPr/>
      </xdr:nvSpPr>
      <xdr:spPr>
        <a:xfrm>
          <a:off x="6467381" y="312460"/>
          <a:ext cx="2697363" cy="1331413"/>
        </a:xfrm>
        <a:prstGeom prst="rect">
          <a:avLst/>
        </a:prstGeom>
        <a:solidFill>
          <a:schemeClr val="accent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393095</xdr:colOff>
      <xdr:row>2</xdr:row>
      <xdr:rowOff>125587</xdr:rowOff>
    </xdr:from>
    <xdr:to>
      <xdr:col>14</xdr:col>
      <xdr:colOff>144962</xdr:colOff>
      <xdr:row>6</xdr:row>
      <xdr:rowOff>30846</xdr:rowOff>
    </xdr:to>
    <xdr:sp macro="" textlink="">
      <xdr:nvSpPr>
        <xdr:cNvPr id="25" name="Rectangle 24">
          <a:extLst>
            <a:ext uri="{FF2B5EF4-FFF2-40B4-BE49-F238E27FC236}">
              <a16:creationId xmlns:a16="http://schemas.microsoft.com/office/drawing/2014/main" id="{E184A442-2D28-4319-8865-A57349E6286A}"/>
            </a:ext>
          </a:extLst>
        </xdr:cNvPr>
        <xdr:cNvSpPr/>
      </xdr:nvSpPr>
      <xdr:spPr>
        <a:xfrm>
          <a:off x="6440714" y="488444"/>
          <a:ext cx="2170915" cy="6309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chemeClr val="tx1"/>
              </a:solidFill>
            </a:rPr>
            <a:t> 1,132,082 </a:t>
          </a:r>
        </a:p>
      </xdr:txBody>
    </xdr:sp>
    <xdr:clientData/>
  </xdr:twoCellAnchor>
  <xdr:twoCellAnchor>
    <xdr:from>
      <xdr:col>10</xdr:col>
      <xdr:colOff>496179</xdr:colOff>
      <xdr:row>5</xdr:row>
      <xdr:rowOff>63965</xdr:rowOff>
    </xdr:from>
    <xdr:to>
      <xdr:col>14</xdr:col>
      <xdr:colOff>248045</xdr:colOff>
      <xdr:row>8</xdr:row>
      <xdr:rowOff>146707</xdr:rowOff>
    </xdr:to>
    <xdr:sp macro="" textlink="[1]KPI!$A$4">
      <xdr:nvSpPr>
        <xdr:cNvPr id="26" name="Rectangle 25">
          <a:extLst>
            <a:ext uri="{FF2B5EF4-FFF2-40B4-BE49-F238E27FC236}">
              <a16:creationId xmlns:a16="http://schemas.microsoft.com/office/drawing/2014/main" id="{019CC10D-3924-473A-8816-A8E5A4256E8D}"/>
            </a:ext>
          </a:extLst>
        </xdr:cNvPr>
        <xdr:cNvSpPr/>
      </xdr:nvSpPr>
      <xdr:spPr>
        <a:xfrm>
          <a:off x="6543798" y="971108"/>
          <a:ext cx="2170914" cy="62702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UNIT</a:t>
          </a:r>
          <a:r>
            <a:rPr lang="en-US" sz="1500" b="0" baseline="0">
              <a:solidFill>
                <a:schemeClr val="tx1"/>
              </a:solidFill>
            </a:rPr>
            <a:t> SOLD</a:t>
          </a:r>
          <a:endParaRPr lang="en-US" sz="1500" b="0">
            <a:solidFill>
              <a:schemeClr val="tx1"/>
            </a:solidFill>
          </a:endParaRPr>
        </a:p>
      </xdr:txBody>
    </xdr:sp>
    <xdr:clientData/>
  </xdr:twoCellAnchor>
  <xdr:twoCellAnchor>
    <xdr:from>
      <xdr:col>13</xdr:col>
      <xdr:colOff>304294</xdr:colOff>
      <xdr:row>2</xdr:row>
      <xdr:rowOff>57447</xdr:rowOff>
    </xdr:from>
    <xdr:to>
      <xdr:col>15</xdr:col>
      <xdr:colOff>380974</xdr:colOff>
      <xdr:row>8</xdr:row>
      <xdr:rowOff>76130</xdr:rowOff>
    </xdr:to>
    <xdr:sp macro="" textlink="">
      <xdr:nvSpPr>
        <xdr:cNvPr id="27" name="TextBox 26">
          <a:extLst>
            <a:ext uri="{FF2B5EF4-FFF2-40B4-BE49-F238E27FC236}">
              <a16:creationId xmlns:a16="http://schemas.microsoft.com/office/drawing/2014/main" id="{97DECD4B-7593-456A-9AAB-89A920FE0034}"/>
            </a:ext>
          </a:extLst>
        </xdr:cNvPr>
        <xdr:cNvSpPr txBox="1"/>
      </xdr:nvSpPr>
      <xdr:spPr>
        <a:xfrm>
          <a:off x="8166199" y="420304"/>
          <a:ext cx="1286204" cy="1107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2">
                  <a:lumMod val="75000"/>
                </a:schemeClr>
              </a:solidFill>
              <a:effectLst/>
              <a:latin typeface="+mn-lt"/>
              <a:ea typeface="+mn-ea"/>
              <a:cs typeface="+mn-cs"/>
            </a:rPr>
            <a:t>📦</a:t>
          </a:r>
          <a:endParaRPr lang="en-US" sz="5000" b="1">
            <a:solidFill>
              <a:schemeClr val="accent2">
                <a:lumMod val="75000"/>
              </a:schemeClr>
            </a:solidFill>
          </a:endParaRPr>
        </a:p>
      </xdr:txBody>
    </xdr:sp>
    <xdr:clientData/>
  </xdr:twoCellAnchor>
  <xdr:twoCellAnchor>
    <xdr:from>
      <xdr:col>15</xdr:col>
      <xdr:colOff>282222</xdr:colOff>
      <xdr:row>1</xdr:row>
      <xdr:rowOff>131030</xdr:rowOff>
    </xdr:from>
    <xdr:to>
      <xdr:col>20</xdr:col>
      <xdr:colOff>513876</xdr:colOff>
      <xdr:row>15</xdr:row>
      <xdr:rowOff>25216</xdr:rowOff>
    </xdr:to>
    <xdr:grpSp>
      <xdr:nvGrpSpPr>
        <xdr:cNvPr id="10" name="Group 9">
          <a:extLst>
            <a:ext uri="{FF2B5EF4-FFF2-40B4-BE49-F238E27FC236}">
              <a16:creationId xmlns:a16="http://schemas.microsoft.com/office/drawing/2014/main" id="{D41EE458-6A6B-463D-B468-53F734EAA13C}"/>
            </a:ext>
          </a:extLst>
        </xdr:cNvPr>
        <xdr:cNvGrpSpPr/>
      </xdr:nvGrpSpPr>
      <xdr:grpSpPr>
        <a:xfrm>
          <a:off x="9353651" y="312459"/>
          <a:ext cx="3255463" cy="2434186"/>
          <a:chOff x="11490476" y="1088571"/>
          <a:chExt cx="3255463" cy="2434186"/>
        </a:xfrm>
      </xdr:grpSpPr>
      <xdr:sp macro="" textlink="">
        <xdr:nvSpPr>
          <xdr:cNvPr id="28" name="Rectangle 27">
            <a:extLst>
              <a:ext uri="{FF2B5EF4-FFF2-40B4-BE49-F238E27FC236}">
                <a16:creationId xmlns:a16="http://schemas.microsoft.com/office/drawing/2014/main" id="{E9E1F15F-1AB0-4C20-880A-E5C0F02C449B}"/>
              </a:ext>
            </a:extLst>
          </xdr:cNvPr>
          <xdr:cNvSpPr/>
        </xdr:nvSpPr>
        <xdr:spPr>
          <a:xfrm>
            <a:off x="11490476" y="1088571"/>
            <a:ext cx="2697363" cy="1331413"/>
          </a:xfrm>
          <a:prstGeom prst="rect">
            <a:avLst/>
          </a:prstGeom>
          <a:solidFill>
            <a:schemeClr val="accent6">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1]KPI!$E$4">
        <xdr:nvSpPr>
          <xdr:cNvPr id="29" name="Rectangle 28">
            <a:extLst>
              <a:ext uri="{FF2B5EF4-FFF2-40B4-BE49-F238E27FC236}">
                <a16:creationId xmlns:a16="http://schemas.microsoft.com/office/drawing/2014/main" id="{62D5A2FE-F652-45C5-BD05-C6B3D3CB3053}"/>
              </a:ext>
            </a:extLst>
          </xdr:cNvPr>
          <xdr:cNvSpPr/>
        </xdr:nvSpPr>
        <xdr:spPr>
          <a:xfrm>
            <a:off x="11495949" y="1193409"/>
            <a:ext cx="2170915" cy="63097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2900" b="1" i="0" u="none" strike="noStrike">
                <a:solidFill>
                  <a:schemeClr val="tx1"/>
                </a:solidFill>
                <a:latin typeface="Calibri"/>
                <a:ea typeface="+mn-ea"/>
                <a:cs typeface="Calibri"/>
              </a:rPr>
              <a:t>7%</a:t>
            </a:r>
          </a:p>
        </xdr:txBody>
      </xdr:sp>
      <xdr:sp macro="" textlink="[1]KPI!$A$4">
        <xdr:nvSpPr>
          <xdr:cNvPr id="30" name="Rectangle 29">
            <a:extLst>
              <a:ext uri="{FF2B5EF4-FFF2-40B4-BE49-F238E27FC236}">
                <a16:creationId xmlns:a16="http://schemas.microsoft.com/office/drawing/2014/main" id="{89A3D3AE-9642-46EF-97DC-8D0FF40B3B0A}"/>
              </a:ext>
            </a:extLst>
          </xdr:cNvPr>
          <xdr:cNvSpPr/>
        </xdr:nvSpPr>
        <xdr:spPr>
          <a:xfrm>
            <a:off x="11518647" y="1684830"/>
            <a:ext cx="1570309" cy="63369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AVG</a:t>
            </a:r>
            <a:r>
              <a:rPr lang="en-US" sz="1500" b="0" baseline="0">
                <a:solidFill>
                  <a:schemeClr val="tx1"/>
                </a:solidFill>
              </a:rPr>
              <a:t> OF DISCOUNTS</a:t>
            </a:r>
            <a:endParaRPr lang="en-US" sz="1500" b="0">
              <a:solidFill>
                <a:schemeClr val="tx1"/>
              </a:solidFill>
            </a:endParaRPr>
          </a:p>
        </xdr:txBody>
      </xdr:sp>
      <xdr:sp macro="" textlink="">
        <xdr:nvSpPr>
          <xdr:cNvPr id="31" name="TextBox 30">
            <a:extLst>
              <a:ext uri="{FF2B5EF4-FFF2-40B4-BE49-F238E27FC236}">
                <a16:creationId xmlns:a16="http://schemas.microsoft.com/office/drawing/2014/main" id="{AA841819-53E6-4B0E-AB7B-2B1042A087CD}"/>
              </a:ext>
            </a:extLst>
          </xdr:cNvPr>
          <xdr:cNvSpPr txBox="1"/>
        </xdr:nvSpPr>
        <xdr:spPr>
          <a:xfrm>
            <a:off x="13168858" y="1092738"/>
            <a:ext cx="1577081" cy="2430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6">
                    <a:lumMod val="75000"/>
                  </a:schemeClr>
                </a:solidFill>
                <a:effectLst/>
                <a:latin typeface="+mn-lt"/>
                <a:ea typeface="+mn-ea"/>
                <a:cs typeface="+mn-cs"/>
              </a:rPr>
              <a:t>🛍</a:t>
            </a:r>
            <a:endParaRPr lang="en-US" sz="5000" b="1">
              <a:solidFill>
                <a:schemeClr val="accent6">
                  <a:lumMod val="75000"/>
                </a:schemeClr>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385536</xdr:colOff>
      <xdr:row>0</xdr:row>
      <xdr:rowOff>181426</xdr:rowOff>
    </xdr:from>
    <xdr:to>
      <xdr:col>21</xdr:col>
      <xdr:colOff>79375</xdr:colOff>
      <xdr:row>77</xdr:row>
      <xdr:rowOff>102054</xdr:rowOff>
    </xdr:to>
    <xdr:sp macro="" textlink="">
      <xdr:nvSpPr>
        <xdr:cNvPr id="40" name="Rectangle 39">
          <a:extLst>
            <a:ext uri="{FF2B5EF4-FFF2-40B4-BE49-F238E27FC236}">
              <a16:creationId xmlns:a16="http://schemas.microsoft.com/office/drawing/2014/main" id="{D4093F08-C181-499A-99B3-79530B7457EE}"/>
            </a:ext>
          </a:extLst>
        </xdr:cNvPr>
        <xdr:cNvSpPr/>
      </xdr:nvSpPr>
      <xdr:spPr>
        <a:xfrm>
          <a:off x="385536" y="181426"/>
          <a:ext cx="12552589" cy="13890628"/>
        </a:xfrm>
        <a:prstGeom prst="rect">
          <a:avLst/>
        </a:prstGeom>
        <a:solidFill>
          <a:srgbClr val="F9F6FC"/>
        </a:soli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5000" b="0">
            <a:solidFill>
              <a:schemeClr val="bg1">
                <a:lumMod val="95000"/>
              </a:schemeClr>
            </a:solidFill>
          </a:endParaRPr>
        </a:p>
      </xdr:txBody>
    </xdr:sp>
    <xdr:clientData/>
  </xdr:twoCellAnchor>
  <xdr:twoCellAnchor>
    <xdr:from>
      <xdr:col>18</xdr:col>
      <xdr:colOff>432466</xdr:colOff>
      <xdr:row>63</xdr:row>
      <xdr:rowOff>165303</xdr:rowOff>
    </xdr:from>
    <xdr:to>
      <xdr:col>19</xdr:col>
      <xdr:colOff>465539</xdr:colOff>
      <xdr:row>66</xdr:row>
      <xdr:rowOff>120322</xdr:rowOff>
    </xdr:to>
    <xdr:sp macro="" textlink="">
      <xdr:nvSpPr>
        <xdr:cNvPr id="10" name="Speech Bubble: Rectangle 9">
          <a:extLst>
            <a:ext uri="{FF2B5EF4-FFF2-40B4-BE49-F238E27FC236}">
              <a16:creationId xmlns:a16="http://schemas.microsoft.com/office/drawing/2014/main" id="{EF72D002-9A57-4646-85FB-B56FE72DBC65}"/>
            </a:ext>
          </a:extLst>
        </xdr:cNvPr>
        <xdr:cNvSpPr/>
      </xdr:nvSpPr>
      <xdr:spPr>
        <a:xfrm>
          <a:off x="11454252" y="11595303"/>
          <a:ext cx="645394" cy="499305"/>
        </a:xfrm>
        <a:prstGeom prst="wedgeRectCallou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solidFill>
                <a:srgbClr val="C00000"/>
              </a:solidFill>
            </a:rPr>
            <a:t>⚠️</a:t>
          </a:r>
          <a:r>
            <a:rPr lang="en-US" sz="600">
              <a:solidFill>
                <a:schemeClr val="tx1"/>
              </a:solidFill>
            </a:rPr>
            <a:t>Enterprise segment shows a loss of $614,546. </a:t>
          </a:r>
        </a:p>
      </xdr:txBody>
    </xdr:sp>
    <xdr:clientData/>
  </xdr:twoCellAnchor>
  <xdr:twoCellAnchor>
    <xdr:from>
      <xdr:col>1</xdr:col>
      <xdr:colOff>172597</xdr:colOff>
      <xdr:row>6</xdr:row>
      <xdr:rowOff>32766</xdr:rowOff>
    </xdr:from>
    <xdr:to>
      <xdr:col>21</xdr:col>
      <xdr:colOff>162352</xdr:colOff>
      <xdr:row>75</xdr:row>
      <xdr:rowOff>39885</xdr:rowOff>
    </xdr:to>
    <xdr:grpSp>
      <xdr:nvGrpSpPr>
        <xdr:cNvPr id="36" name="Group 35">
          <a:extLst>
            <a:ext uri="{FF2B5EF4-FFF2-40B4-BE49-F238E27FC236}">
              <a16:creationId xmlns:a16="http://schemas.microsoft.com/office/drawing/2014/main" id="{EBB6A1F2-9169-40ED-9834-80370091E6AD}"/>
            </a:ext>
          </a:extLst>
        </xdr:cNvPr>
        <xdr:cNvGrpSpPr/>
      </xdr:nvGrpSpPr>
      <xdr:grpSpPr>
        <a:xfrm>
          <a:off x="785700" y="1149490"/>
          <a:ext cx="12251824" cy="12849447"/>
          <a:chOff x="524121" y="282223"/>
          <a:chExt cx="12236184" cy="12525691"/>
        </a:xfrm>
      </xdr:grpSpPr>
      <xdr:graphicFrame macro="">
        <xdr:nvGraphicFramePr>
          <xdr:cNvPr id="30" name="Chart 29">
            <a:extLst>
              <a:ext uri="{FF2B5EF4-FFF2-40B4-BE49-F238E27FC236}">
                <a16:creationId xmlns:a16="http://schemas.microsoft.com/office/drawing/2014/main" id="{DC22C103-B617-4B87-84A6-E2198CF3FA92}"/>
              </a:ext>
            </a:extLst>
          </xdr:cNvPr>
          <xdr:cNvGraphicFramePr>
            <a:graphicFrameLocks/>
          </xdr:cNvGraphicFramePr>
        </xdr:nvGraphicFramePr>
        <xdr:xfrm>
          <a:off x="6537138" y="7886107"/>
          <a:ext cx="5690027" cy="239474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Sales by Country">
            <a:extLst>
              <a:ext uri="{FF2B5EF4-FFF2-40B4-BE49-F238E27FC236}">
                <a16:creationId xmlns:a16="http://schemas.microsoft.com/office/drawing/2014/main" id="{9D7F1D7C-AE17-4711-83ED-17CCC4AAD5AE}"/>
              </a:ext>
            </a:extLst>
          </xdr:cNvPr>
          <xdr:cNvGraphicFramePr>
            <a:graphicFrameLocks/>
          </xdr:cNvGraphicFramePr>
        </xdr:nvGraphicFramePr>
        <xdr:xfrm>
          <a:off x="534441" y="7886434"/>
          <a:ext cx="5873054" cy="239416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Sales by Segment">
            <a:extLst>
              <a:ext uri="{FF2B5EF4-FFF2-40B4-BE49-F238E27FC236}">
                <a16:creationId xmlns:a16="http://schemas.microsoft.com/office/drawing/2014/main" id="{889FCE97-1462-4D9F-9FFE-A0F3F5209E8A}"/>
              </a:ext>
            </a:extLst>
          </xdr:cNvPr>
          <xdr:cNvGraphicFramePr>
            <a:graphicFrameLocks/>
          </xdr:cNvGraphicFramePr>
        </xdr:nvGraphicFramePr>
        <xdr:xfrm>
          <a:off x="6542870" y="10413750"/>
          <a:ext cx="5690093" cy="23941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3C396AEC-7EF5-4918-952D-6CEA8040B7F4}"/>
              </a:ext>
            </a:extLst>
          </xdr:cNvPr>
          <xdr:cNvGraphicFramePr>
            <a:graphicFrameLocks/>
          </xdr:cNvGraphicFramePr>
        </xdr:nvGraphicFramePr>
        <xdr:xfrm>
          <a:off x="535256" y="10409025"/>
          <a:ext cx="5854758" cy="239416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 name="SalesOverTime">
            <a:extLst>
              <a:ext uri="{FF2B5EF4-FFF2-40B4-BE49-F238E27FC236}">
                <a16:creationId xmlns:a16="http://schemas.microsoft.com/office/drawing/2014/main" id="{12C779C8-098D-4132-97A5-2D43C0B2641A}"/>
              </a:ext>
            </a:extLst>
          </xdr:cNvPr>
          <xdr:cNvGraphicFramePr>
            <a:graphicFrameLocks/>
          </xdr:cNvGraphicFramePr>
        </xdr:nvGraphicFramePr>
        <xdr:xfrm>
          <a:off x="547249" y="1775683"/>
          <a:ext cx="11671381" cy="348535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8">
            <a:extLst>
              <a:ext uri="{FF2B5EF4-FFF2-40B4-BE49-F238E27FC236}">
                <a16:creationId xmlns:a16="http://schemas.microsoft.com/office/drawing/2014/main" id="{4AB1A538-BB9C-43BC-BAFF-EB4956547FD2}"/>
              </a:ext>
            </a:extLst>
          </xdr:cNvPr>
          <xdr:cNvGraphicFramePr>
            <a:graphicFrameLocks/>
          </xdr:cNvGraphicFramePr>
        </xdr:nvGraphicFramePr>
        <xdr:xfrm>
          <a:off x="542470" y="5376816"/>
          <a:ext cx="5869238" cy="239204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507237EF-1B92-4A2E-9177-0B7C53512F04}"/>
              </a:ext>
            </a:extLst>
          </xdr:cNvPr>
          <xdr:cNvGraphicFramePr>
            <a:graphicFrameLocks/>
          </xdr:cNvGraphicFramePr>
        </xdr:nvGraphicFramePr>
        <xdr:xfrm>
          <a:off x="6540844" y="5376931"/>
          <a:ext cx="5685825" cy="2392042"/>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35" name="Group 34">
            <a:extLst>
              <a:ext uri="{FF2B5EF4-FFF2-40B4-BE49-F238E27FC236}">
                <a16:creationId xmlns:a16="http://schemas.microsoft.com/office/drawing/2014/main" id="{1AF80FF1-CC69-4A9A-8311-956472193650}"/>
              </a:ext>
            </a:extLst>
          </xdr:cNvPr>
          <xdr:cNvGrpSpPr/>
        </xdr:nvGrpSpPr>
        <xdr:grpSpPr>
          <a:xfrm>
            <a:off x="524121" y="282223"/>
            <a:ext cx="12236184" cy="2464422"/>
            <a:chOff x="524121" y="282223"/>
            <a:chExt cx="12236184" cy="2464422"/>
          </a:xfrm>
        </xdr:grpSpPr>
        <xdr:grpSp>
          <xdr:nvGrpSpPr>
            <xdr:cNvPr id="11" name="Group 10">
              <a:extLst>
                <a:ext uri="{FF2B5EF4-FFF2-40B4-BE49-F238E27FC236}">
                  <a16:creationId xmlns:a16="http://schemas.microsoft.com/office/drawing/2014/main" id="{5C3A74B7-829C-4979-BBC0-DF0B8754FA56}"/>
                </a:ext>
              </a:extLst>
            </xdr:cNvPr>
            <xdr:cNvGrpSpPr/>
          </xdr:nvGrpSpPr>
          <xdr:grpSpPr>
            <a:xfrm>
              <a:off x="524121" y="282223"/>
              <a:ext cx="2942205" cy="1331413"/>
              <a:chOff x="7105952" y="725714"/>
              <a:chExt cx="2904408" cy="1331413"/>
            </a:xfrm>
          </xdr:grpSpPr>
          <xdr:sp macro="" textlink="">
            <xdr:nvSpPr>
              <xdr:cNvPr id="12" name="Rectangle 11">
                <a:extLst>
                  <a:ext uri="{FF2B5EF4-FFF2-40B4-BE49-F238E27FC236}">
                    <a16:creationId xmlns:a16="http://schemas.microsoft.com/office/drawing/2014/main" id="{41E800FD-DB78-47DA-852B-E195266B25DC}"/>
                  </a:ext>
                </a:extLst>
              </xdr:cNvPr>
              <xdr:cNvSpPr/>
            </xdr:nvSpPr>
            <xdr:spPr>
              <a:xfrm>
                <a:off x="7140299" y="725714"/>
                <a:ext cx="2694223" cy="1331413"/>
              </a:xfrm>
              <a:prstGeom prst="rect">
                <a:avLst/>
              </a:prstGeom>
              <a:solidFill>
                <a:srgbClr val="EAE0F4"/>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341AB579-1380-41E3-9B34-68345B20B0F1}"/>
                  </a:ext>
                </a:extLst>
              </xdr:cNvPr>
              <xdr:cNvSpPr/>
            </xdr:nvSpPr>
            <xdr:spPr>
              <a:xfrm>
                <a:off x="7105952" y="901980"/>
                <a:ext cx="2167717" cy="63097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ysClr val="windowText" lastClr="000000"/>
                    </a:solidFill>
                  </a:rPr>
                  <a:t> $119,920,181 </a:t>
                </a:r>
              </a:p>
            </xdr:txBody>
          </xdr:sp>
          <xdr:sp macro="" textlink="[1]KPI!$A$4">
            <xdr:nvSpPr>
              <xdr:cNvPr id="14" name="Rectangle 13">
                <a:extLst>
                  <a:ext uri="{FF2B5EF4-FFF2-40B4-BE49-F238E27FC236}">
                    <a16:creationId xmlns:a16="http://schemas.microsoft.com/office/drawing/2014/main" id="{5CA7DAA2-E869-4255-90EB-6FD374E9073C}"/>
                  </a:ext>
                </a:extLst>
              </xdr:cNvPr>
              <xdr:cNvSpPr/>
            </xdr:nvSpPr>
            <xdr:spPr>
              <a:xfrm>
                <a:off x="7213682" y="1384644"/>
                <a:ext cx="1642750" cy="63097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ysClr val="windowText" lastClr="000000"/>
                    </a:solidFill>
                  </a:rPr>
                  <a:t>SALES</a:t>
                </a:r>
              </a:p>
            </xdr:txBody>
          </xdr:sp>
          <xdr:sp macro="" textlink="">
            <xdr:nvSpPr>
              <xdr:cNvPr id="15" name="TextBox 14">
                <a:extLst>
                  <a:ext uri="{FF2B5EF4-FFF2-40B4-BE49-F238E27FC236}">
                    <a16:creationId xmlns:a16="http://schemas.microsoft.com/office/drawing/2014/main" id="{4206A62B-0448-4E24-A135-182AC4502FC6}"/>
                  </a:ext>
                </a:extLst>
              </xdr:cNvPr>
              <xdr:cNvSpPr txBox="1"/>
            </xdr:nvSpPr>
            <xdr:spPr>
              <a:xfrm>
                <a:off x="8976664" y="833841"/>
                <a:ext cx="1033696" cy="987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rgbClr val="B897D9"/>
                    </a:solidFill>
                  </a:rPr>
                  <a:t>💰</a:t>
                </a:r>
              </a:p>
            </xdr:txBody>
          </xdr:sp>
        </xdr:grpSp>
        <xdr:grpSp>
          <xdr:nvGrpSpPr>
            <xdr:cNvPr id="16" name="Group 15">
              <a:extLst>
                <a:ext uri="{FF2B5EF4-FFF2-40B4-BE49-F238E27FC236}">
                  <a16:creationId xmlns:a16="http://schemas.microsoft.com/office/drawing/2014/main" id="{E9672A1D-58CB-4994-AC08-33C45F06F28C}"/>
                </a:ext>
              </a:extLst>
            </xdr:cNvPr>
            <xdr:cNvGrpSpPr/>
          </xdr:nvGrpSpPr>
          <xdr:grpSpPr>
            <a:xfrm>
              <a:off x="3503840" y="302381"/>
              <a:ext cx="3093674" cy="1331413"/>
              <a:chOff x="7094752" y="4172857"/>
              <a:chExt cx="3055876" cy="1331413"/>
            </a:xfrm>
          </xdr:grpSpPr>
          <xdr:sp macro="" textlink="">
            <xdr:nvSpPr>
              <xdr:cNvPr id="17" name="Rectangle 16">
                <a:extLst>
                  <a:ext uri="{FF2B5EF4-FFF2-40B4-BE49-F238E27FC236}">
                    <a16:creationId xmlns:a16="http://schemas.microsoft.com/office/drawing/2014/main" id="{D32EF5DF-7EA5-4E44-BD22-12900939FCAF}"/>
                  </a:ext>
                </a:extLst>
              </xdr:cNvPr>
              <xdr:cNvSpPr/>
            </xdr:nvSpPr>
            <xdr:spPr>
              <a:xfrm>
                <a:off x="7130795" y="4172857"/>
                <a:ext cx="2697363" cy="1331413"/>
              </a:xfrm>
              <a:prstGeom prst="rect">
                <a:avLst/>
              </a:prstGeom>
              <a:solidFill>
                <a:schemeClr val="accent1">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2445D820-A66B-4F88-B8F3-E50AA88438C6}"/>
                  </a:ext>
                </a:extLst>
              </xdr:cNvPr>
              <xdr:cNvSpPr/>
            </xdr:nvSpPr>
            <xdr:spPr>
              <a:xfrm>
                <a:off x="7094752" y="4335367"/>
                <a:ext cx="2170915" cy="63097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chemeClr val="tx1"/>
                    </a:solidFill>
                  </a:rPr>
                  <a:t> $17,136,425 </a:t>
                </a:r>
              </a:p>
            </xdr:txBody>
          </xdr:sp>
          <xdr:sp macro="" textlink="[1]KPI!$A$4">
            <xdr:nvSpPr>
              <xdr:cNvPr id="19" name="Rectangle 18">
                <a:extLst>
                  <a:ext uri="{FF2B5EF4-FFF2-40B4-BE49-F238E27FC236}">
                    <a16:creationId xmlns:a16="http://schemas.microsoft.com/office/drawing/2014/main" id="{88D87C56-1EE0-498B-AE1B-726C5491BBD4}"/>
                  </a:ext>
                </a:extLst>
              </xdr:cNvPr>
              <xdr:cNvSpPr/>
            </xdr:nvSpPr>
            <xdr:spPr>
              <a:xfrm>
                <a:off x="7206611" y="4814087"/>
                <a:ext cx="1570309" cy="6309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PROFIT</a:t>
                </a:r>
              </a:p>
            </xdr:txBody>
          </xdr:sp>
          <xdr:sp macro="" textlink="">
            <xdr:nvSpPr>
              <xdr:cNvPr id="20" name="TextBox 19">
                <a:extLst>
                  <a:ext uri="{FF2B5EF4-FFF2-40B4-BE49-F238E27FC236}">
                    <a16:creationId xmlns:a16="http://schemas.microsoft.com/office/drawing/2014/main" id="{26B0BC47-6EEE-4E2F-B450-EEAF72BBE2C7}"/>
                  </a:ext>
                </a:extLst>
              </xdr:cNvPr>
              <xdr:cNvSpPr txBox="1"/>
            </xdr:nvSpPr>
            <xdr:spPr>
              <a:xfrm>
                <a:off x="8869262" y="4228345"/>
                <a:ext cx="1281366" cy="1107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1">
                        <a:lumMod val="75000"/>
                      </a:schemeClr>
                    </a:solidFill>
                    <a:effectLst/>
                    <a:latin typeface="+mn-lt"/>
                    <a:ea typeface="+mn-ea"/>
                    <a:cs typeface="+mn-cs"/>
                  </a:rPr>
                  <a:t>📈</a:t>
                </a:r>
                <a:endParaRPr lang="en-US" sz="5000" b="1">
                  <a:solidFill>
                    <a:schemeClr val="accent1">
                      <a:lumMod val="75000"/>
                    </a:schemeClr>
                  </a:solidFill>
                </a:endParaRPr>
              </a:p>
            </xdr:txBody>
          </xdr:sp>
        </xdr:grpSp>
        <xdr:grpSp>
          <xdr:nvGrpSpPr>
            <xdr:cNvPr id="34" name="Group 33">
              <a:extLst>
                <a:ext uri="{FF2B5EF4-FFF2-40B4-BE49-F238E27FC236}">
                  <a16:creationId xmlns:a16="http://schemas.microsoft.com/office/drawing/2014/main" id="{57960EA7-0A94-4203-BB61-617E526D671D}"/>
                </a:ext>
              </a:extLst>
            </xdr:cNvPr>
            <xdr:cNvGrpSpPr/>
          </xdr:nvGrpSpPr>
          <xdr:grpSpPr>
            <a:xfrm>
              <a:off x="6493631" y="312460"/>
              <a:ext cx="3049486" cy="1331413"/>
              <a:chOff x="6493631" y="312460"/>
              <a:chExt cx="3049486" cy="1331413"/>
            </a:xfrm>
          </xdr:grpSpPr>
          <xdr:sp macro="" textlink="">
            <xdr:nvSpPr>
              <xdr:cNvPr id="21" name="Rectangle 20">
                <a:extLst>
                  <a:ext uri="{FF2B5EF4-FFF2-40B4-BE49-F238E27FC236}">
                    <a16:creationId xmlns:a16="http://schemas.microsoft.com/office/drawing/2014/main" id="{5B71BABD-5FF4-46EB-ACA3-5F6E855B46AD}"/>
                  </a:ext>
                </a:extLst>
              </xdr:cNvPr>
              <xdr:cNvSpPr/>
            </xdr:nvSpPr>
            <xdr:spPr>
              <a:xfrm>
                <a:off x="6520298" y="312460"/>
                <a:ext cx="2735160" cy="1331413"/>
              </a:xfrm>
              <a:prstGeom prst="rect">
                <a:avLst/>
              </a:prstGeom>
              <a:solidFill>
                <a:schemeClr val="accent2">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38CA04EF-8E1C-4958-9291-CE3D6AD81FE0}"/>
                  </a:ext>
                </a:extLst>
              </xdr:cNvPr>
              <xdr:cNvSpPr/>
            </xdr:nvSpPr>
            <xdr:spPr>
              <a:xfrm>
                <a:off x="6493631" y="488444"/>
                <a:ext cx="2201153" cy="6309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500" b="1">
                    <a:solidFill>
                      <a:schemeClr val="tx1"/>
                    </a:solidFill>
                  </a:rPr>
                  <a:t> 1,132,082 </a:t>
                </a:r>
              </a:p>
            </xdr:txBody>
          </xdr:sp>
          <xdr:sp macro="" textlink="[1]KPI!$A$4">
            <xdr:nvSpPr>
              <xdr:cNvPr id="23" name="Rectangle 22">
                <a:extLst>
                  <a:ext uri="{FF2B5EF4-FFF2-40B4-BE49-F238E27FC236}">
                    <a16:creationId xmlns:a16="http://schemas.microsoft.com/office/drawing/2014/main" id="{F06D3F9A-9B98-4B89-A6BB-64CF0E0C8C50}"/>
                  </a:ext>
                </a:extLst>
              </xdr:cNvPr>
              <xdr:cNvSpPr/>
            </xdr:nvSpPr>
            <xdr:spPr>
              <a:xfrm>
                <a:off x="6596715" y="971108"/>
                <a:ext cx="2201152" cy="62702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UNIT</a:t>
                </a:r>
                <a:r>
                  <a:rPr lang="en-US" sz="1500" b="0" baseline="0">
                    <a:solidFill>
                      <a:schemeClr val="tx1"/>
                    </a:solidFill>
                  </a:rPr>
                  <a:t> SOLD</a:t>
                </a:r>
                <a:endParaRPr lang="en-US" sz="1500" b="0">
                  <a:solidFill>
                    <a:schemeClr val="tx1"/>
                  </a:solidFill>
                </a:endParaRPr>
              </a:p>
            </xdr:txBody>
          </xdr:sp>
          <xdr:sp macro="" textlink="">
            <xdr:nvSpPr>
              <xdr:cNvPr id="24" name="TextBox 23">
                <a:extLst>
                  <a:ext uri="{FF2B5EF4-FFF2-40B4-BE49-F238E27FC236}">
                    <a16:creationId xmlns:a16="http://schemas.microsoft.com/office/drawing/2014/main" id="{2A5BD645-145C-435E-A5EF-F83F234447FD}"/>
                  </a:ext>
                </a:extLst>
              </xdr:cNvPr>
              <xdr:cNvSpPr txBox="1"/>
            </xdr:nvSpPr>
            <xdr:spPr>
              <a:xfrm>
                <a:off x="8241795" y="420304"/>
                <a:ext cx="1301322" cy="1107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2">
                        <a:lumMod val="75000"/>
                      </a:schemeClr>
                    </a:solidFill>
                    <a:effectLst/>
                    <a:latin typeface="+mn-lt"/>
                    <a:ea typeface="+mn-ea"/>
                    <a:cs typeface="+mn-cs"/>
                  </a:rPr>
                  <a:t>📦</a:t>
                </a:r>
                <a:endParaRPr lang="en-US" sz="5000" b="1">
                  <a:solidFill>
                    <a:schemeClr val="accent2">
                      <a:lumMod val="75000"/>
                    </a:schemeClr>
                  </a:solidFill>
                </a:endParaRPr>
              </a:p>
            </xdr:txBody>
          </xdr:sp>
        </xdr:grpSp>
        <xdr:grpSp>
          <xdr:nvGrpSpPr>
            <xdr:cNvPr id="25" name="Group 24">
              <a:extLst>
                <a:ext uri="{FF2B5EF4-FFF2-40B4-BE49-F238E27FC236}">
                  <a16:creationId xmlns:a16="http://schemas.microsoft.com/office/drawing/2014/main" id="{EB0B7C2C-3D6D-4146-AF50-C4B2C2EF896B}"/>
                </a:ext>
              </a:extLst>
            </xdr:cNvPr>
            <xdr:cNvGrpSpPr/>
          </xdr:nvGrpSpPr>
          <xdr:grpSpPr>
            <a:xfrm>
              <a:off x="9467043" y="312459"/>
              <a:ext cx="3293262" cy="2434186"/>
              <a:chOff x="11490476" y="1088571"/>
              <a:chExt cx="3255463" cy="2434186"/>
            </a:xfrm>
          </xdr:grpSpPr>
          <xdr:sp macro="" textlink="">
            <xdr:nvSpPr>
              <xdr:cNvPr id="26" name="Rectangle 25">
                <a:extLst>
                  <a:ext uri="{FF2B5EF4-FFF2-40B4-BE49-F238E27FC236}">
                    <a16:creationId xmlns:a16="http://schemas.microsoft.com/office/drawing/2014/main" id="{EC92029B-40CB-4A14-A5DF-B62EA20A3F20}"/>
                  </a:ext>
                </a:extLst>
              </xdr:cNvPr>
              <xdr:cNvSpPr/>
            </xdr:nvSpPr>
            <xdr:spPr>
              <a:xfrm>
                <a:off x="11490476" y="1088571"/>
                <a:ext cx="2697363" cy="1331413"/>
              </a:xfrm>
              <a:prstGeom prst="rect">
                <a:avLst/>
              </a:prstGeom>
              <a:solidFill>
                <a:schemeClr val="accent6">
                  <a:lumMod val="20000"/>
                  <a:lumOff val="80000"/>
                </a:schemeClr>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1]KPI!$E$4">
            <xdr:nvSpPr>
              <xdr:cNvPr id="27" name="Rectangle 26">
                <a:extLst>
                  <a:ext uri="{FF2B5EF4-FFF2-40B4-BE49-F238E27FC236}">
                    <a16:creationId xmlns:a16="http://schemas.microsoft.com/office/drawing/2014/main" id="{83B48EE3-4DBF-42CE-8CBD-C48BACEBD31E}"/>
                  </a:ext>
                </a:extLst>
              </xdr:cNvPr>
              <xdr:cNvSpPr/>
            </xdr:nvSpPr>
            <xdr:spPr>
              <a:xfrm>
                <a:off x="11495949" y="1193409"/>
                <a:ext cx="2170915" cy="63097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2900" b="1" i="0" u="none" strike="noStrike">
                    <a:solidFill>
                      <a:schemeClr val="tx1"/>
                    </a:solidFill>
                    <a:latin typeface="Calibri"/>
                    <a:ea typeface="+mn-ea"/>
                    <a:cs typeface="Calibri"/>
                  </a:rPr>
                  <a:t>7%</a:t>
                </a:r>
              </a:p>
            </xdr:txBody>
          </xdr:sp>
          <xdr:sp macro="" textlink="[1]KPI!$A$4">
            <xdr:nvSpPr>
              <xdr:cNvPr id="28" name="Rectangle 27">
                <a:extLst>
                  <a:ext uri="{FF2B5EF4-FFF2-40B4-BE49-F238E27FC236}">
                    <a16:creationId xmlns:a16="http://schemas.microsoft.com/office/drawing/2014/main" id="{B82CBAA8-9919-4AA7-9AE4-35F2E56CCA81}"/>
                  </a:ext>
                </a:extLst>
              </xdr:cNvPr>
              <xdr:cNvSpPr/>
            </xdr:nvSpPr>
            <xdr:spPr>
              <a:xfrm>
                <a:off x="11518647" y="1684830"/>
                <a:ext cx="1570309" cy="63369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tx1"/>
                    </a:solidFill>
                  </a:rPr>
                  <a:t>AVG</a:t>
                </a:r>
                <a:r>
                  <a:rPr lang="en-US" sz="1500" b="0" baseline="0">
                    <a:solidFill>
                      <a:schemeClr val="tx1"/>
                    </a:solidFill>
                  </a:rPr>
                  <a:t> OF DISCOUNTS</a:t>
                </a:r>
                <a:endParaRPr lang="en-US" sz="1500" b="0">
                  <a:solidFill>
                    <a:schemeClr val="tx1"/>
                  </a:solidFill>
                </a:endParaRPr>
              </a:p>
            </xdr:txBody>
          </xdr:sp>
          <xdr:sp macro="" textlink="">
            <xdr:nvSpPr>
              <xdr:cNvPr id="29" name="TextBox 28">
                <a:extLst>
                  <a:ext uri="{FF2B5EF4-FFF2-40B4-BE49-F238E27FC236}">
                    <a16:creationId xmlns:a16="http://schemas.microsoft.com/office/drawing/2014/main" id="{8B11DF9F-48BD-452C-9438-CC3C6DEEAEBD}"/>
                  </a:ext>
                </a:extLst>
              </xdr:cNvPr>
              <xdr:cNvSpPr txBox="1"/>
            </xdr:nvSpPr>
            <xdr:spPr>
              <a:xfrm>
                <a:off x="13168858" y="1092738"/>
                <a:ext cx="1577081" cy="2430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accent6">
                        <a:lumMod val="75000"/>
                      </a:schemeClr>
                    </a:solidFill>
                    <a:effectLst/>
                    <a:latin typeface="+mn-lt"/>
                    <a:ea typeface="+mn-ea"/>
                    <a:cs typeface="+mn-cs"/>
                  </a:rPr>
                  <a:t>🛍</a:t>
                </a:r>
                <a:endParaRPr lang="en-US" sz="5000" b="1">
                  <a:solidFill>
                    <a:schemeClr val="accent6">
                      <a:lumMod val="75000"/>
                    </a:schemeClr>
                  </a:solidFill>
                </a:endParaRPr>
              </a:p>
            </xdr:txBody>
          </xdr:sp>
        </xdr:grpSp>
      </xdr:grpSp>
    </xdr:grpSp>
    <xdr:clientData/>
  </xdr:twoCellAnchor>
  <xdr:twoCellAnchor>
    <xdr:from>
      <xdr:col>15</xdr:col>
      <xdr:colOff>374190</xdr:colOff>
      <xdr:row>3</xdr:row>
      <xdr:rowOff>68037</xdr:rowOff>
    </xdr:from>
    <xdr:to>
      <xdr:col>26</xdr:col>
      <xdr:colOff>113386</xdr:colOff>
      <xdr:row>5</xdr:row>
      <xdr:rowOff>113393</xdr:rowOff>
    </xdr:to>
    <xdr:sp macro="" textlink="">
      <xdr:nvSpPr>
        <xdr:cNvPr id="37" name="TextBox 36">
          <a:extLst>
            <a:ext uri="{FF2B5EF4-FFF2-40B4-BE49-F238E27FC236}">
              <a16:creationId xmlns:a16="http://schemas.microsoft.com/office/drawing/2014/main" id="{DB30D1F5-E838-4615-BA88-833440D7AF60}"/>
            </a:ext>
          </a:extLst>
        </xdr:cNvPr>
        <xdr:cNvSpPr txBox="1"/>
      </xdr:nvSpPr>
      <xdr:spPr>
        <a:xfrm>
          <a:off x="9559011" y="612323"/>
          <a:ext cx="6474732" cy="408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a:solidFill>
                <a:srgbClr val="2F1943"/>
              </a:solidFill>
            </a:rPr>
            <a:t>SEPTEMBER 2013 - DECEMBER 2014</a:t>
          </a:r>
        </a:p>
      </xdr:txBody>
    </xdr:sp>
    <xdr:clientData/>
  </xdr:twoCellAnchor>
  <xdr:twoCellAnchor>
    <xdr:from>
      <xdr:col>1</xdr:col>
      <xdr:colOff>73020</xdr:colOff>
      <xdr:row>3</xdr:row>
      <xdr:rowOff>16329</xdr:rowOff>
    </xdr:from>
    <xdr:to>
      <xdr:col>11</xdr:col>
      <xdr:colOff>424537</xdr:colOff>
      <xdr:row>6</xdr:row>
      <xdr:rowOff>56697</xdr:rowOff>
    </xdr:to>
    <xdr:sp macro="" textlink="">
      <xdr:nvSpPr>
        <xdr:cNvPr id="38" name="TextBox 37">
          <a:extLst>
            <a:ext uri="{FF2B5EF4-FFF2-40B4-BE49-F238E27FC236}">
              <a16:creationId xmlns:a16="http://schemas.microsoft.com/office/drawing/2014/main" id="{260E2AAF-1B06-4CDC-A9F5-BA4A8E6D3546}"/>
            </a:ext>
          </a:extLst>
        </xdr:cNvPr>
        <xdr:cNvSpPr txBox="1"/>
      </xdr:nvSpPr>
      <xdr:spPr>
        <a:xfrm>
          <a:off x="685341" y="560615"/>
          <a:ext cx="6474732" cy="584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2F1943"/>
              </a:solidFill>
            </a:rPr>
            <a:t>PROFIT</a:t>
          </a:r>
          <a:r>
            <a:rPr lang="en-US" sz="2200" b="1" baseline="0">
              <a:solidFill>
                <a:srgbClr val="2F1943"/>
              </a:solidFill>
            </a:rPr>
            <a:t> AND SALES PERFORMANCE</a:t>
          </a:r>
          <a:r>
            <a:rPr lang="en-US" sz="2200" b="1">
              <a:solidFill>
                <a:srgbClr val="2F1943"/>
              </a:solidFill>
            </a:rPr>
            <a:t> | OVERVIEW</a:t>
          </a:r>
        </a:p>
      </xdr:txBody>
    </xdr:sp>
    <xdr:clientData/>
  </xdr:twoCellAnchor>
  <xdr:twoCellAnchor>
    <xdr:from>
      <xdr:col>19</xdr:col>
      <xdr:colOff>22679</xdr:colOff>
      <xdr:row>68</xdr:row>
      <xdr:rowOff>90714</xdr:rowOff>
    </xdr:from>
    <xdr:to>
      <xdr:col>20</xdr:col>
      <xdr:colOff>48192</xdr:colOff>
      <xdr:row>71</xdr:row>
      <xdr:rowOff>45733</xdr:rowOff>
    </xdr:to>
    <xdr:sp macro="" textlink="">
      <xdr:nvSpPr>
        <xdr:cNvPr id="39" name="Speech Bubble: Rectangle 38">
          <a:extLst>
            <a:ext uri="{FF2B5EF4-FFF2-40B4-BE49-F238E27FC236}">
              <a16:creationId xmlns:a16="http://schemas.microsoft.com/office/drawing/2014/main" id="{067158C2-3255-4388-A7E0-13A60F1FB4A8}"/>
            </a:ext>
          </a:extLst>
        </xdr:cNvPr>
        <xdr:cNvSpPr/>
      </xdr:nvSpPr>
      <xdr:spPr>
        <a:xfrm>
          <a:off x="11656786" y="12427857"/>
          <a:ext cx="637835" cy="499305"/>
        </a:xfrm>
        <a:prstGeom prst="wedgeRectCallou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600">
              <a:solidFill>
                <a:srgbClr val="C00000"/>
              </a:solidFill>
            </a:rPr>
            <a:t>⚠️</a:t>
          </a:r>
          <a:r>
            <a:rPr lang="en-US" sz="600">
              <a:solidFill>
                <a:schemeClr val="tx1"/>
              </a:solidFill>
            </a:rPr>
            <a:t>Enterprise segment shows a loss of $614,546. </a:t>
          </a:r>
        </a:p>
      </xdr:txBody>
    </xdr:sp>
    <xdr:clientData/>
  </xdr:twoCellAnchor>
  <xdr:twoCellAnchor>
    <xdr:from>
      <xdr:col>21</xdr:col>
      <xdr:colOff>448880</xdr:colOff>
      <xdr:row>1</xdr:row>
      <xdr:rowOff>-1</xdr:rowOff>
    </xdr:from>
    <xdr:to>
      <xdr:col>35</xdr:col>
      <xdr:colOff>87586</xdr:colOff>
      <xdr:row>39</xdr:row>
      <xdr:rowOff>43793</xdr:rowOff>
    </xdr:to>
    <xdr:sp macro="" textlink="">
      <xdr:nvSpPr>
        <xdr:cNvPr id="45" name="Rectangle 44">
          <a:extLst>
            <a:ext uri="{FF2B5EF4-FFF2-40B4-BE49-F238E27FC236}">
              <a16:creationId xmlns:a16="http://schemas.microsoft.com/office/drawing/2014/main" id="{1DC911CC-7FF6-40A7-A4C2-7C52301C475E}"/>
            </a:ext>
          </a:extLst>
        </xdr:cNvPr>
        <xdr:cNvSpPr/>
      </xdr:nvSpPr>
      <xdr:spPr>
        <a:xfrm>
          <a:off x="13324052" y="186120"/>
          <a:ext cx="8222155" cy="7116380"/>
        </a:xfrm>
        <a:prstGeom prst="rect">
          <a:avLst/>
        </a:prstGeom>
        <a:solidFill>
          <a:srgbClr val="F9F6FC"/>
        </a:soli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5000" b="0">
            <a:solidFill>
              <a:schemeClr val="bg1">
                <a:lumMod val="95000"/>
              </a:schemeClr>
            </a:solidFill>
          </a:endParaRPr>
        </a:p>
      </xdr:txBody>
    </xdr:sp>
    <xdr:clientData/>
  </xdr:twoCellAnchor>
  <xdr:twoCellAnchor>
    <xdr:from>
      <xdr:col>22</xdr:col>
      <xdr:colOff>109092</xdr:colOff>
      <xdr:row>1</xdr:row>
      <xdr:rowOff>135758</xdr:rowOff>
    </xdr:from>
    <xdr:to>
      <xdr:col>34</xdr:col>
      <xdr:colOff>527317</xdr:colOff>
      <xdr:row>4</xdr:row>
      <xdr:rowOff>146332</xdr:rowOff>
    </xdr:to>
    <xdr:sp macro="" textlink="">
      <xdr:nvSpPr>
        <xdr:cNvPr id="46" name="TextBox 45">
          <a:extLst>
            <a:ext uri="{FF2B5EF4-FFF2-40B4-BE49-F238E27FC236}">
              <a16:creationId xmlns:a16="http://schemas.microsoft.com/office/drawing/2014/main" id="{FCF9AA4C-7958-4E2C-A186-C81DF9456921}"/>
            </a:ext>
          </a:extLst>
        </xdr:cNvPr>
        <xdr:cNvSpPr txBox="1"/>
      </xdr:nvSpPr>
      <xdr:spPr>
        <a:xfrm>
          <a:off x="13580163" y="317187"/>
          <a:ext cx="7766083" cy="55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700" b="1" baseline="0">
              <a:solidFill>
                <a:srgbClr val="2F1943"/>
              </a:solidFill>
            </a:rPr>
            <a:t>KEY INSIGHTS:</a:t>
          </a:r>
          <a:endParaRPr lang="en-US" sz="1700" b="1">
            <a:solidFill>
              <a:srgbClr val="2F1943"/>
            </a:solidFill>
          </a:endParaRPr>
        </a:p>
      </xdr:txBody>
    </xdr:sp>
    <xdr:clientData/>
  </xdr:twoCellAnchor>
  <xdr:twoCellAnchor>
    <xdr:from>
      <xdr:col>22</xdr:col>
      <xdr:colOff>125706</xdr:colOff>
      <xdr:row>14</xdr:row>
      <xdr:rowOff>170839</xdr:rowOff>
    </xdr:from>
    <xdr:to>
      <xdr:col>34</xdr:col>
      <xdr:colOff>532749</xdr:colOff>
      <xdr:row>37</xdr:row>
      <xdr:rowOff>136586</xdr:rowOff>
    </xdr:to>
    <xdr:grpSp>
      <xdr:nvGrpSpPr>
        <xdr:cNvPr id="69" name="Group 68">
          <a:extLst>
            <a:ext uri="{FF2B5EF4-FFF2-40B4-BE49-F238E27FC236}">
              <a16:creationId xmlns:a16="http://schemas.microsoft.com/office/drawing/2014/main" id="{B7E59B99-255A-4B0C-87C9-6245D1A45857}"/>
            </a:ext>
          </a:extLst>
        </xdr:cNvPr>
        <xdr:cNvGrpSpPr/>
      </xdr:nvGrpSpPr>
      <xdr:grpSpPr>
        <a:xfrm>
          <a:off x="13613982" y="2776529"/>
          <a:ext cx="7764284" cy="4246523"/>
          <a:chOff x="13613983" y="805838"/>
          <a:chExt cx="7764284" cy="4246523"/>
        </a:xfrm>
      </xdr:grpSpPr>
      <xdr:grpSp>
        <xdr:nvGrpSpPr>
          <xdr:cNvPr id="33" name="Group 32">
            <a:extLst>
              <a:ext uri="{FF2B5EF4-FFF2-40B4-BE49-F238E27FC236}">
                <a16:creationId xmlns:a16="http://schemas.microsoft.com/office/drawing/2014/main" id="{A0A99EF8-FE28-4262-B68A-3579EC7D9B9B}"/>
              </a:ext>
            </a:extLst>
          </xdr:cNvPr>
          <xdr:cNvGrpSpPr/>
        </xdr:nvGrpSpPr>
        <xdr:grpSpPr>
          <a:xfrm>
            <a:off x="13626646" y="805838"/>
            <a:ext cx="7736280" cy="1172963"/>
            <a:chOff x="13571062" y="810329"/>
            <a:chExt cx="7705962" cy="1179701"/>
          </a:xfrm>
        </xdr:grpSpPr>
        <xdr:sp macro="" textlink="">
          <xdr:nvSpPr>
            <xdr:cNvPr id="49" name="TextBox 48">
              <a:extLst>
                <a:ext uri="{FF2B5EF4-FFF2-40B4-BE49-F238E27FC236}">
                  <a16:creationId xmlns:a16="http://schemas.microsoft.com/office/drawing/2014/main" id="{B9DE9A9A-7C81-431E-B97E-47ECB8E94405}"/>
                </a:ext>
              </a:extLst>
            </xdr:cNvPr>
            <xdr:cNvSpPr txBox="1"/>
          </xdr:nvSpPr>
          <xdr:spPr>
            <a:xfrm>
              <a:off x="13865986" y="1360773"/>
              <a:ext cx="7411038" cy="62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2F1943"/>
                  </a:solidFill>
                  <a:effectLst/>
                  <a:latin typeface="+mn-lt"/>
                  <a:ea typeface="+mn-ea"/>
                  <a:cs typeface="+mn-cs"/>
                </a:rPr>
                <a:t>Paseo</a:t>
              </a:r>
              <a:r>
                <a:rPr lang="en-US" sz="1200">
                  <a:solidFill>
                    <a:srgbClr val="2F1943"/>
                  </a:solidFill>
                  <a:effectLst/>
                  <a:latin typeface="+mn-lt"/>
                  <a:ea typeface="+mn-ea"/>
                  <a:cs typeface="+mn-cs"/>
                </a:rPr>
                <a:t> is the most profitable</a:t>
              </a:r>
              <a:r>
                <a:rPr lang="en-US" sz="1200" baseline="0">
                  <a:solidFill>
                    <a:srgbClr val="2F1943"/>
                  </a:solidFill>
                  <a:effectLst/>
                  <a:latin typeface="+mn-lt"/>
                  <a:ea typeface="+mn-ea"/>
                  <a:cs typeface="+mn-cs"/>
                </a:rPr>
                <a:t> and best-selling product. The company should </a:t>
              </a:r>
              <a:r>
                <a:rPr lang="en-US" sz="1200" b="1" baseline="0">
                  <a:solidFill>
                    <a:srgbClr val="2F1943"/>
                  </a:solidFill>
                  <a:effectLst/>
                  <a:latin typeface="+mn-lt"/>
                  <a:ea typeface="+mn-ea"/>
                  <a:cs typeface="+mn-cs"/>
                </a:rPr>
                <a:t>focus on promoting Paseo</a:t>
              </a:r>
              <a:r>
                <a:rPr lang="en-US" sz="1200" baseline="0">
                  <a:solidFill>
                    <a:srgbClr val="2F1943"/>
                  </a:solidFill>
                  <a:effectLst/>
                  <a:latin typeface="+mn-lt"/>
                  <a:ea typeface="+mn-ea"/>
                  <a:cs typeface="+mn-cs"/>
                </a:rPr>
                <a:t> and explore why </a:t>
              </a:r>
              <a:r>
                <a:rPr lang="en-US" sz="1200" b="1" baseline="0">
                  <a:solidFill>
                    <a:srgbClr val="2F1943"/>
                  </a:solidFill>
                  <a:effectLst/>
                  <a:latin typeface="+mn-lt"/>
                  <a:ea typeface="+mn-ea"/>
                  <a:cs typeface="+mn-cs"/>
                </a:rPr>
                <a:t>Carretera</a:t>
              </a:r>
              <a:r>
                <a:rPr lang="en-US" sz="1200" baseline="0">
                  <a:solidFill>
                    <a:srgbClr val="2F1943"/>
                  </a:solidFill>
                  <a:effectLst/>
                  <a:latin typeface="+mn-lt"/>
                  <a:ea typeface="+mn-ea"/>
                  <a:cs typeface="+mn-cs"/>
                </a:rPr>
                <a:t> has low profit and sales - maybe due to pricing, demand, or quality issues.</a:t>
              </a:r>
              <a:endParaRPr lang="en-US" sz="1200">
                <a:solidFill>
                  <a:srgbClr val="2F1943"/>
                </a:solidFill>
                <a:effectLst/>
              </a:endParaRPr>
            </a:p>
          </xdr:txBody>
        </xdr:sp>
        <xdr:sp macro="" textlink="">
          <xdr:nvSpPr>
            <xdr:cNvPr id="50" name="TextBox 49">
              <a:extLst>
                <a:ext uri="{FF2B5EF4-FFF2-40B4-BE49-F238E27FC236}">
                  <a16:creationId xmlns:a16="http://schemas.microsoft.com/office/drawing/2014/main" id="{948EFED9-D004-41FA-BFE7-CB88506918AC}"/>
                </a:ext>
              </a:extLst>
            </xdr:cNvPr>
            <xdr:cNvSpPr txBox="1"/>
          </xdr:nvSpPr>
          <xdr:spPr>
            <a:xfrm>
              <a:off x="13853755" y="810329"/>
              <a:ext cx="4757534" cy="617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Focus</a:t>
              </a:r>
              <a:r>
                <a:rPr lang="en-US" sz="1500" b="1" baseline="0">
                  <a:solidFill>
                    <a:srgbClr val="2F1943"/>
                  </a:solidFill>
                </a:rPr>
                <a:t> Product: Paseo is a goldmine - maximize it!</a:t>
              </a:r>
              <a:br>
                <a:rPr lang="en-US" sz="1500" b="1" baseline="0">
                  <a:solidFill>
                    <a:srgbClr val="2F1943"/>
                  </a:solidFill>
                </a:rPr>
              </a:br>
              <a:r>
                <a:rPr lang="en-US" sz="1500" b="1" baseline="0">
                  <a:solidFill>
                    <a:srgbClr val="2F1943"/>
                  </a:solidFill>
                </a:rPr>
                <a:t>Weak Product: Carretera needs review or replacement.</a:t>
              </a:r>
              <a:endParaRPr lang="en-US" sz="1500" b="1">
                <a:solidFill>
                  <a:srgbClr val="2F1943"/>
                </a:solidFill>
              </a:endParaRPr>
            </a:p>
          </xdr:txBody>
        </xdr:sp>
        <xdr:sp macro="" textlink="">
          <xdr:nvSpPr>
            <xdr:cNvPr id="51" name="TextBox 50">
              <a:extLst>
                <a:ext uri="{FF2B5EF4-FFF2-40B4-BE49-F238E27FC236}">
                  <a16:creationId xmlns:a16="http://schemas.microsoft.com/office/drawing/2014/main" id="{06741D32-FAAF-406B-9D26-80A3D5F96BD6}"/>
                </a:ext>
              </a:extLst>
            </xdr:cNvPr>
            <xdr:cNvSpPr txBox="1"/>
          </xdr:nvSpPr>
          <xdr:spPr>
            <a:xfrm>
              <a:off x="13571062" y="821618"/>
              <a:ext cx="367277" cy="6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3.</a:t>
              </a:r>
            </a:p>
          </xdr:txBody>
        </xdr:sp>
      </xdr:grpSp>
      <xdr:grpSp>
        <xdr:nvGrpSpPr>
          <xdr:cNvPr id="32" name="Group 31">
            <a:extLst>
              <a:ext uri="{FF2B5EF4-FFF2-40B4-BE49-F238E27FC236}">
                <a16:creationId xmlns:a16="http://schemas.microsoft.com/office/drawing/2014/main" id="{5955B5C2-C846-455F-96E2-557530293048}"/>
              </a:ext>
            </a:extLst>
          </xdr:cNvPr>
          <xdr:cNvGrpSpPr/>
        </xdr:nvGrpSpPr>
        <xdr:grpSpPr>
          <a:xfrm>
            <a:off x="13613983" y="1999449"/>
            <a:ext cx="7744421" cy="929856"/>
            <a:chOff x="13558399" y="1904845"/>
            <a:chExt cx="7714103" cy="935471"/>
          </a:xfrm>
        </xdr:grpSpPr>
        <xdr:sp macro="" textlink="">
          <xdr:nvSpPr>
            <xdr:cNvPr id="52" name="TextBox 51">
              <a:extLst>
                <a:ext uri="{FF2B5EF4-FFF2-40B4-BE49-F238E27FC236}">
                  <a16:creationId xmlns:a16="http://schemas.microsoft.com/office/drawing/2014/main" id="{2FEB5A9E-6601-41AD-8B9A-5A7F5AD6AF8C}"/>
                </a:ext>
              </a:extLst>
            </xdr:cNvPr>
            <xdr:cNvSpPr txBox="1"/>
          </xdr:nvSpPr>
          <xdr:spPr>
            <a:xfrm>
              <a:off x="13861464" y="2211059"/>
              <a:ext cx="7411038" cy="62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2F1943"/>
                  </a:solidFill>
                  <a:effectLst/>
                  <a:latin typeface="+mn-lt"/>
                  <a:ea typeface="+mn-ea"/>
                  <a:cs typeface="+mn-cs"/>
                </a:rPr>
                <a:t>Profit</a:t>
              </a:r>
              <a:r>
                <a:rPr lang="en-US" sz="1200" b="0" baseline="0">
                  <a:solidFill>
                    <a:srgbClr val="2F1943"/>
                  </a:solidFill>
                  <a:effectLst/>
                  <a:latin typeface="+mn-lt"/>
                  <a:ea typeface="+mn-ea"/>
                  <a:cs typeface="+mn-cs"/>
                </a:rPr>
                <a:t> is well-distributed among top countries, but </a:t>
              </a:r>
              <a:r>
                <a:rPr lang="en-US" sz="1200" b="1" baseline="0">
                  <a:solidFill>
                    <a:srgbClr val="2F1943"/>
                  </a:solidFill>
                  <a:effectLst/>
                  <a:latin typeface="+mn-lt"/>
                  <a:ea typeface="+mn-ea"/>
                  <a:cs typeface="+mn-cs"/>
                </a:rPr>
                <a:t>America (US)</a:t>
              </a:r>
              <a:r>
                <a:rPr lang="en-US" sz="1200" b="0" baseline="0">
                  <a:solidFill>
                    <a:srgbClr val="2F1943"/>
                  </a:solidFill>
                  <a:effectLst/>
                  <a:latin typeface="+mn-lt"/>
                  <a:ea typeface="+mn-ea"/>
                  <a:cs typeface="+mn-cs"/>
                </a:rPr>
                <a:t> has slightly lower profit than expected. </a:t>
              </a:r>
              <a:r>
                <a:rPr lang="en-US" sz="1200" b="1" baseline="0">
                  <a:solidFill>
                    <a:srgbClr val="2F1943"/>
                  </a:solidFill>
                  <a:effectLst/>
                  <a:latin typeface="+mn-lt"/>
                  <a:ea typeface="+mn-ea"/>
                  <a:cs typeface="+mn-cs"/>
                </a:rPr>
                <a:t>There may be higher costs or more discounts</a:t>
              </a:r>
              <a:r>
                <a:rPr lang="en-US" sz="1200" b="0" baseline="0">
                  <a:solidFill>
                    <a:srgbClr val="2F1943"/>
                  </a:solidFill>
                  <a:effectLst/>
                  <a:latin typeface="+mn-lt"/>
                  <a:ea typeface="+mn-ea"/>
                  <a:cs typeface="+mn-cs"/>
                </a:rPr>
                <a:t> in that market.</a:t>
              </a:r>
              <a:endParaRPr lang="en-US" sz="1200" b="0">
                <a:solidFill>
                  <a:srgbClr val="2F1943"/>
                </a:solidFill>
                <a:effectLst/>
              </a:endParaRPr>
            </a:p>
          </xdr:txBody>
        </xdr:sp>
        <xdr:sp macro="" textlink="">
          <xdr:nvSpPr>
            <xdr:cNvPr id="53" name="TextBox 52">
              <a:extLst>
                <a:ext uri="{FF2B5EF4-FFF2-40B4-BE49-F238E27FC236}">
                  <a16:creationId xmlns:a16="http://schemas.microsoft.com/office/drawing/2014/main" id="{7576E23D-C089-413B-B685-EE3B7BADA41F}"/>
                </a:ext>
              </a:extLst>
            </xdr:cNvPr>
            <xdr:cNvSpPr txBox="1"/>
          </xdr:nvSpPr>
          <xdr:spPr>
            <a:xfrm>
              <a:off x="13841092" y="1904845"/>
              <a:ext cx="5208908" cy="374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baseline="0">
                  <a:solidFill>
                    <a:srgbClr val="2F1943"/>
                  </a:solidFill>
                </a:rPr>
                <a:t>Top Market: France, Germany, Canada are leading in profit.</a:t>
              </a:r>
              <a:endParaRPr lang="en-US" sz="1500" b="1">
                <a:solidFill>
                  <a:srgbClr val="2F1943"/>
                </a:solidFill>
              </a:endParaRPr>
            </a:p>
          </xdr:txBody>
        </xdr:sp>
        <xdr:sp macro="" textlink="">
          <xdr:nvSpPr>
            <xdr:cNvPr id="54" name="TextBox 53">
              <a:extLst>
                <a:ext uri="{FF2B5EF4-FFF2-40B4-BE49-F238E27FC236}">
                  <a16:creationId xmlns:a16="http://schemas.microsoft.com/office/drawing/2014/main" id="{EAF84B6C-F502-446B-8B81-BA152DB91A2D}"/>
                </a:ext>
              </a:extLst>
            </xdr:cNvPr>
            <xdr:cNvSpPr txBox="1"/>
          </xdr:nvSpPr>
          <xdr:spPr>
            <a:xfrm>
              <a:off x="13558399" y="1916134"/>
              <a:ext cx="367277" cy="6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4.</a:t>
              </a:r>
            </a:p>
          </xdr:txBody>
        </xdr:sp>
      </xdr:grpSp>
      <xdr:grpSp>
        <xdr:nvGrpSpPr>
          <xdr:cNvPr id="31" name="Group 30">
            <a:extLst>
              <a:ext uri="{FF2B5EF4-FFF2-40B4-BE49-F238E27FC236}">
                <a16:creationId xmlns:a16="http://schemas.microsoft.com/office/drawing/2014/main" id="{7FD20763-934B-4B7E-8B71-B911A4F10360}"/>
              </a:ext>
            </a:extLst>
          </xdr:cNvPr>
          <xdr:cNvGrpSpPr/>
        </xdr:nvGrpSpPr>
        <xdr:grpSpPr>
          <a:xfrm>
            <a:off x="13627985" y="2976619"/>
            <a:ext cx="7744421" cy="929857"/>
            <a:chOff x="13572401" y="2765515"/>
            <a:chExt cx="7714103" cy="935471"/>
          </a:xfrm>
        </xdr:grpSpPr>
        <xdr:sp macro="" textlink="">
          <xdr:nvSpPr>
            <xdr:cNvPr id="55" name="TextBox 54">
              <a:extLst>
                <a:ext uri="{FF2B5EF4-FFF2-40B4-BE49-F238E27FC236}">
                  <a16:creationId xmlns:a16="http://schemas.microsoft.com/office/drawing/2014/main" id="{7143128F-681E-42CE-9647-F0DA30330C94}"/>
                </a:ext>
              </a:extLst>
            </xdr:cNvPr>
            <xdr:cNvSpPr txBox="1"/>
          </xdr:nvSpPr>
          <xdr:spPr>
            <a:xfrm>
              <a:off x="13875466" y="3071729"/>
              <a:ext cx="7411038" cy="62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2F1943"/>
                  </a:solidFill>
                  <a:effectLst/>
                  <a:latin typeface="+mn-lt"/>
                  <a:ea typeface="+mn-ea"/>
                  <a:cs typeface="+mn-cs"/>
                </a:rPr>
                <a:t>Surprisingly, low and medium discounts result in higher profit than no discount. Discounts may be </a:t>
              </a:r>
              <a:r>
                <a:rPr lang="en-US" sz="1200" b="1">
                  <a:solidFill>
                    <a:srgbClr val="2F1943"/>
                  </a:solidFill>
                  <a:effectLst/>
                  <a:latin typeface="+mn-lt"/>
                  <a:ea typeface="+mn-ea"/>
                  <a:cs typeface="+mn-cs"/>
                </a:rPr>
                <a:t>strategically</a:t>
              </a:r>
              <a:r>
                <a:rPr lang="en-US" sz="1200" b="1" baseline="0">
                  <a:solidFill>
                    <a:srgbClr val="2F1943"/>
                  </a:solidFill>
                  <a:effectLst/>
                  <a:latin typeface="+mn-lt"/>
                  <a:ea typeface="+mn-ea"/>
                  <a:cs typeface="+mn-cs"/>
                </a:rPr>
                <a:t> boosting volume</a:t>
              </a:r>
              <a:r>
                <a:rPr lang="en-US" sz="1200" b="0" baseline="0">
                  <a:solidFill>
                    <a:srgbClr val="2F1943"/>
                  </a:solidFill>
                  <a:effectLst/>
                  <a:latin typeface="+mn-lt"/>
                  <a:ea typeface="+mn-ea"/>
                  <a:cs typeface="+mn-cs"/>
                </a:rPr>
                <a:t>, while </a:t>
              </a:r>
              <a:r>
                <a:rPr lang="en-US" sz="1200" b="1" baseline="0">
                  <a:solidFill>
                    <a:srgbClr val="2F1943"/>
                  </a:solidFill>
                  <a:effectLst/>
                  <a:latin typeface="+mn-lt"/>
                  <a:ea typeface="+mn-ea"/>
                  <a:cs typeface="+mn-cs"/>
                </a:rPr>
                <a:t>no-discount items don't sell much</a:t>
              </a:r>
              <a:r>
                <a:rPr lang="en-US" sz="1200" b="0" baseline="0">
                  <a:solidFill>
                    <a:srgbClr val="2F1943"/>
                  </a:solidFill>
                  <a:effectLst/>
                  <a:latin typeface="+mn-lt"/>
                  <a:ea typeface="+mn-ea"/>
                  <a:cs typeface="+mn-cs"/>
                </a:rPr>
                <a:t>.</a:t>
              </a:r>
              <a:endParaRPr lang="en-US" sz="1200" b="0">
                <a:solidFill>
                  <a:srgbClr val="2F1943"/>
                </a:solidFill>
                <a:effectLst/>
              </a:endParaRPr>
            </a:p>
          </xdr:txBody>
        </xdr:sp>
        <xdr:sp macro="" textlink="">
          <xdr:nvSpPr>
            <xdr:cNvPr id="56" name="TextBox 55">
              <a:extLst>
                <a:ext uri="{FF2B5EF4-FFF2-40B4-BE49-F238E27FC236}">
                  <a16:creationId xmlns:a16="http://schemas.microsoft.com/office/drawing/2014/main" id="{FE6DED96-B2DD-49B2-9AB0-A490B36BB98F}"/>
                </a:ext>
              </a:extLst>
            </xdr:cNvPr>
            <xdr:cNvSpPr txBox="1"/>
          </xdr:nvSpPr>
          <xdr:spPr>
            <a:xfrm>
              <a:off x="13855093" y="2765515"/>
              <a:ext cx="7327855" cy="374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baseline="0">
                  <a:solidFill>
                    <a:srgbClr val="2F1943"/>
                  </a:solidFill>
                </a:rPr>
                <a:t>Effective Discount Strategy: Low/Medium discounts drive more profit than no discounts.</a:t>
              </a:r>
              <a:endParaRPr lang="en-US" sz="1500" b="1">
                <a:solidFill>
                  <a:srgbClr val="2F1943"/>
                </a:solidFill>
              </a:endParaRPr>
            </a:p>
          </xdr:txBody>
        </xdr:sp>
        <xdr:sp macro="" textlink="">
          <xdr:nvSpPr>
            <xdr:cNvPr id="57" name="TextBox 56">
              <a:extLst>
                <a:ext uri="{FF2B5EF4-FFF2-40B4-BE49-F238E27FC236}">
                  <a16:creationId xmlns:a16="http://schemas.microsoft.com/office/drawing/2014/main" id="{A95F065C-2EB9-4866-93CE-E60330A67758}"/>
                </a:ext>
              </a:extLst>
            </xdr:cNvPr>
            <xdr:cNvSpPr txBox="1"/>
          </xdr:nvSpPr>
          <xdr:spPr>
            <a:xfrm>
              <a:off x="13572401" y="2776804"/>
              <a:ext cx="367277" cy="6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5.</a:t>
              </a:r>
            </a:p>
          </xdr:txBody>
        </xdr:sp>
      </xdr:grpSp>
      <xdr:grpSp>
        <xdr:nvGrpSpPr>
          <xdr:cNvPr id="2" name="Group 1">
            <a:extLst>
              <a:ext uri="{FF2B5EF4-FFF2-40B4-BE49-F238E27FC236}">
                <a16:creationId xmlns:a16="http://schemas.microsoft.com/office/drawing/2014/main" id="{093EE2ED-8173-433B-9F62-0AA4EA7C935D}"/>
              </a:ext>
            </a:extLst>
          </xdr:cNvPr>
          <xdr:cNvGrpSpPr/>
        </xdr:nvGrpSpPr>
        <xdr:grpSpPr>
          <a:xfrm>
            <a:off x="13633846" y="3888661"/>
            <a:ext cx="7744421" cy="1163700"/>
            <a:chOff x="13578262" y="3634325"/>
            <a:chExt cx="7714103" cy="1171560"/>
          </a:xfrm>
        </xdr:grpSpPr>
        <xdr:sp macro="" textlink="">
          <xdr:nvSpPr>
            <xdr:cNvPr id="58" name="TextBox 57">
              <a:extLst>
                <a:ext uri="{FF2B5EF4-FFF2-40B4-BE49-F238E27FC236}">
                  <a16:creationId xmlns:a16="http://schemas.microsoft.com/office/drawing/2014/main" id="{3C496553-A411-4D71-B2EC-FD3F6A7A5925}"/>
                </a:ext>
              </a:extLst>
            </xdr:cNvPr>
            <xdr:cNvSpPr txBox="1"/>
          </xdr:nvSpPr>
          <xdr:spPr>
            <a:xfrm>
              <a:off x="13881327" y="4176628"/>
              <a:ext cx="7411038" cy="62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2F1943"/>
                  </a:solidFill>
                  <a:effectLst/>
                  <a:latin typeface="+mn-lt"/>
                  <a:ea typeface="+mn-ea"/>
                  <a:cs typeface="+mn-cs"/>
                </a:rPr>
                <a:t>Focus more on </a:t>
              </a:r>
              <a:r>
                <a:rPr lang="en-US" sz="1200" b="1">
                  <a:solidFill>
                    <a:srgbClr val="2F1943"/>
                  </a:solidFill>
                  <a:effectLst/>
                  <a:latin typeface="+mn-lt"/>
                  <a:ea typeface="+mn-ea"/>
                  <a:cs typeface="+mn-cs"/>
                </a:rPr>
                <a:t>government</a:t>
              </a:r>
              <a:r>
                <a:rPr lang="en-US" sz="1200" b="1" baseline="0">
                  <a:solidFill>
                    <a:srgbClr val="2F1943"/>
                  </a:solidFill>
                  <a:effectLst/>
                  <a:latin typeface="+mn-lt"/>
                  <a:ea typeface="+mn-ea"/>
                  <a:cs typeface="+mn-cs"/>
                </a:rPr>
                <a:t> and small business segment.</a:t>
              </a:r>
              <a:r>
                <a:rPr lang="en-US" sz="1200" b="0" baseline="0">
                  <a:solidFill>
                    <a:srgbClr val="2F1943"/>
                  </a:solidFill>
                  <a:effectLst/>
                  <a:latin typeface="+mn-lt"/>
                  <a:ea typeface="+mn-ea"/>
                  <a:cs typeface="+mn-cs"/>
                </a:rPr>
                <a:t> The </a:t>
              </a:r>
              <a:r>
                <a:rPr lang="en-US" sz="1200" b="1" baseline="0">
                  <a:solidFill>
                    <a:srgbClr val="2F1943"/>
                  </a:solidFill>
                  <a:effectLst/>
                  <a:latin typeface="+mn-lt"/>
                  <a:ea typeface="+mn-ea"/>
                  <a:cs typeface="+mn-cs"/>
                </a:rPr>
                <a:t>enterprise segment is unprofitable</a:t>
              </a:r>
              <a:r>
                <a:rPr lang="en-US" sz="1200" b="0" baseline="0">
                  <a:solidFill>
                    <a:srgbClr val="2F1943"/>
                  </a:solidFill>
                  <a:effectLst/>
                  <a:latin typeface="+mn-lt"/>
                  <a:ea typeface="+mn-ea"/>
                  <a:cs typeface="+mn-cs"/>
                </a:rPr>
                <a:t> - maybe due to </a:t>
              </a:r>
              <a:r>
                <a:rPr lang="en-US" sz="1200" b="1" baseline="0">
                  <a:solidFill>
                    <a:srgbClr val="2F1943"/>
                  </a:solidFill>
                  <a:effectLst/>
                  <a:latin typeface="+mn-lt"/>
                  <a:ea typeface="+mn-ea"/>
                  <a:cs typeface="+mn-cs"/>
                </a:rPr>
                <a:t>custom deals, discounts, or poor conversion.</a:t>
              </a:r>
              <a:r>
                <a:rPr lang="en-US" sz="1200" b="0" baseline="0">
                  <a:solidFill>
                    <a:srgbClr val="2F1943"/>
                  </a:solidFill>
                  <a:effectLst/>
                  <a:latin typeface="+mn-lt"/>
                  <a:ea typeface="+mn-ea"/>
                  <a:cs typeface="+mn-cs"/>
                </a:rPr>
                <a:t> Need deeper analysis or even re-strategizing for Enterprise.</a:t>
              </a:r>
              <a:endParaRPr lang="en-US" sz="1200" b="0">
                <a:solidFill>
                  <a:srgbClr val="2F1943"/>
                </a:solidFill>
                <a:effectLst/>
              </a:endParaRPr>
            </a:p>
          </xdr:txBody>
        </xdr:sp>
        <xdr:sp macro="" textlink="">
          <xdr:nvSpPr>
            <xdr:cNvPr id="59" name="TextBox 58">
              <a:extLst>
                <a:ext uri="{FF2B5EF4-FFF2-40B4-BE49-F238E27FC236}">
                  <a16:creationId xmlns:a16="http://schemas.microsoft.com/office/drawing/2014/main" id="{4927B8FA-9A5A-43EC-AA90-88765BA73955}"/>
                </a:ext>
              </a:extLst>
            </xdr:cNvPr>
            <xdr:cNvSpPr txBox="1"/>
          </xdr:nvSpPr>
          <xdr:spPr>
            <a:xfrm>
              <a:off x="13860954" y="3634325"/>
              <a:ext cx="7327855" cy="60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baseline="0">
                  <a:solidFill>
                    <a:srgbClr val="2F1943"/>
                  </a:solidFill>
                </a:rPr>
                <a:t>Profitable Segment: Government &amp; Small Business. Consider Dropping or Restructuring Enterprise Segment.</a:t>
              </a:r>
              <a:endParaRPr lang="en-US" sz="1500" b="1">
                <a:solidFill>
                  <a:srgbClr val="2F1943"/>
                </a:solidFill>
              </a:endParaRPr>
            </a:p>
          </xdr:txBody>
        </xdr:sp>
        <xdr:sp macro="" textlink="">
          <xdr:nvSpPr>
            <xdr:cNvPr id="60" name="TextBox 59">
              <a:extLst>
                <a:ext uri="{FF2B5EF4-FFF2-40B4-BE49-F238E27FC236}">
                  <a16:creationId xmlns:a16="http://schemas.microsoft.com/office/drawing/2014/main" id="{BE1DA532-DA4A-4FEF-91B2-D3BE2B8148A4}"/>
                </a:ext>
              </a:extLst>
            </xdr:cNvPr>
            <xdr:cNvSpPr txBox="1"/>
          </xdr:nvSpPr>
          <xdr:spPr>
            <a:xfrm>
              <a:off x="13578262" y="3645614"/>
              <a:ext cx="367277" cy="6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6.</a:t>
              </a:r>
            </a:p>
          </xdr:txBody>
        </xdr:sp>
      </xdr:grpSp>
    </xdr:grpSp>
    <xdr:clientData/>
  </xdr:twoCellAnchor>
  <xdr:twoCellAnchor>
    <xdr:from>
      <xdr:col>22</xdr:col>
      <xdr:colOff>122798</xdr:colOff>
      <xdr:row>9</xdr:row>
      <xdr:rowOff>165374</xdr:rowOff>
    </xdr:from>
    <xdr:to>
      <xdr:col>36</xdr:col>
      <xdr:colOff>153278</xdr:colOff>
      <xdr:row>14</xdr:row>
      <xdr:rowOff>179512</xdr:rowOff>
    </xdr:to>
    <xdr:grpSp>
      <xdr:nvGrpSpPr>
        <xdr:cNvPr id="61" name="Group 60">
          <a:extLst>
            <a:ext uri="{FF2B5EF4-FFF2-40B4-BE49-F238E27FC236}">
              <a16:creationId xmlns:a16="http://schemas.microsoft.com/office/drawing/2014/main" id="{FCC6E01E-794E-4AC4-85CF-93FF7BBA0A1C}"/>
            </a:ext>
          </a:extLst>
        </xdr:cNvPr>
        <xdr:cNvGrpSpPr/>
      </xdr:nvGrpSpPr>
      <xdr:grpSpPr>
        <a:xfrm>
          <a:off x="13611074" y="1840460"/>
          <a:ext cx="8613928" cy="944742"/>
          <a:chOff x="13578262" y="3634324"/>
          <a:chExt cx="8580206" cy="951122"/>
        </a:xfrm>
      </xdr:grpSpPr>
      <xdr:sp macro="" textlink="">
        <xdr:nvSpPr>
          <xdr:cNvPr id="62" name="TextBox 61">
            <a:extLst>
              <a:ext uri="{FF2B5EF4-FFF2-40B4-BE49-F238E27FC236}">
                <a16:creationId xmlns:a16="http://schemas.microsoft.com/office/drawing/2014/main" id="{C42AD29B-EB69-44F7-9AFB-5AD7D7AD7A40}"/>
              </a:ext>
            </a:extLst>
          </xdr:cNvPr>
          <xdr:cNvSpPr txBox="1"/>
        </xdr:nvSpPr>
        <xdr:spPr>
          <a:xfrm>
            <a:off x="13881327" y="3956190"/>
            <a:ext cx="7411038" cy="62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2F1943"/>
                </a:solidFill>
                <a:effectLst/>
                <a:latin typeface="+mn-lt"/>
                <a:ea typeface="+mn-ea"/>
                <a:cs typeface="+mn-cs"/>
              </a:rPr>
              <a:t>Sales show significant seasonal peaks in October and December, indicating the impact of holiday or promotional</a:t>
            </a:r>
            <a:r>
              <a:rPr lang="en-US" sz="1200" b="0" baseline="0">
                <a:solidFill>
                  <a:srgbClr val="2F1943"/>
                </a:solidFill>
                <a:effectLst/>
                <a:latin typeface="+mn-lt"/>
                <a:ea typeface="+mn-ea"/>
                <a:cs typeface="+mn-cs"/>
              </a:rPr>
              <a:t> periods.</a:t>
            </a:r>
            <a:endParaRPr lang="en-US" sz="1200" b="0">
              <a:solidFill>
                <a:srgbClr val="2F1943"/>
              </a:solidFill>
              <a:effectLst/>
            </a:endParaRPr>
          </a:p>
        </xdr:txBody>
      </xdr:sp>
      <xdr:sp macro="" textlink="">
        <xdr:nvSpPr>
          <xdr:cNvPr id="63" name="TextBox 62">
            <a:extLst>
              <a:ext uri="{FF2B5EF4-FFF2-40B4-BE49-F238E27FC236}">
                <a16:creationId xmlns:a16="http://schemas.microsoft.com/office/drawing/2014/main" id="{ECE703AC-4FB2-4C06-8BA2-67332D9DC213}"/>
              </a:ext>
            </a:extLst>
          </xdr:cNvPr>
          <xdr:cNvSpPr txBox="1"/>
        </xdr:nvSpPr>
        <xdr:spPr>
          <a:xfrm>
            <a:off x="13860954" y="3634324"/>
            <a:ext cx="8297514" cy="60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baseline="0">
                <a:solidFill>
                  <a:srgbClr val="2F1943"/>
                </a:solidFill>
              </a:rPr>
              <a:t>Monthly Sales &amp; Profit Trend: Peaks in Oct 2013, Jun, Oct, Dec 2014.</a:t>
            </a:r>
            <a:endParaRPr lang="en-US" sz="1500" b="1">
              <a:solidFill>
                <a:srgbClr val="2F1943"/>
              </a:solidFill>
            </a:endParaRPr>
          </a:p>
        </xdr:txBody>
      </xdr:sp>
      <xdr:sp macro="" textlink="">
        <xdr:nvSpPr>
          <xdr:cNvPr id="64" name="TextBox 63">
            <a:extLst>
              <a:ext uri="{FF2B5EF4-FFF2-40B4-BE49-F238E27FC236}">
                <a16:creationId xmlns:a16="http://schemas.microsoft.com/office/drawing/2014/main" id="{96C66481-722C-4462-9462-038A6D7DF6D4}"/>
              </a:ext>
            </a:extLst>
          </xdr:cNvPr>
          <xdr:cNvSpPr txBox="1"/>
        </xdr:nvSpPr>
        <xdr:spPr>
          <a:xfrm>
            <a:off x="13578262" y="3645614"/>
            <a:ext cx="367277" cy="6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2.</a:t>
            </a:r>
          </a:p>
        </xdr:txBody>
      </xdr:sp>
    </xdr:grpSp>
    <xdr:clientData/>
  </xdr:twoCellAnchor>
  <xdr:twoCellAnchor>
    <xdr:from>
      <xdr:col>22</xdr:col>
      <xdr:colOff>110974</xdr:colOff>
      <xdr:row>4</xdr:row>
      <xdr:rowOff>164496</xdr:rowOff>
    </xdr:from>
    <xdr:to>
      <xdr:col>36</xdr:col>
      <xdr:colOff>141454</xdr:colOff>
      <xdr:row>9</xdr:row>
      <xdr:rowOff>178634</xdr:rowOff>
    </xdr:to>
    <xdr:grpSp>
      <xdr:nvGrpSpPr>
        <xdr:cNvPr id="65" name="Group 64">
          <a:extLst>
            <a:ext uri="{FF2B5EF4-FFF2-40B4-BE49-F238E27FC236}">
              <a16:creationId xmlns:a16="http://schemas.microsoft.com/office/drawing/2014/main" id="{F03A34FD-2559-481C-82A2-F375C6BEF207}"/>
            </a:ext>
          </a:extLst>
        </xdr:cNvPr>
        <xdr:cNvGrpSpPr/>
      </xdr:nvGrpSpPr>
      <xdr:grpSpPr>
        <a:xfrm>
          <a:off x="13599250" y="908979"/>
          <a:ext cx="8613928" cy="944741"/>
          <a:chOff x="13578262" y="3634325"/>
          <a:chExt cx="8580206" cy="951121"/>
        </a:xfrm>
      </xdr:grpSpPr>
      <xdr:sp macro="" textlink="">
        <xdr:nvSpPr>
          <xdr:cNvPr id="66" name="TextBox 65">
            <a:extLst>
              <a:ext uri="{FF2B5EF4-FFF2-40B4-BE49-F238E27FC236}">
                <a16:creationId xmlns:a16="http://schemas.microsoft.com/office/drawing/2014/main" id="{F1CAC23A-C272-40AA-B19A-F4C321807BFD}"/>
              </a:ext>
            </a:extLst>
          </xdr:cNvPr>
          <xdr:cNvSpPr txBox="1"/>
        </xdr:nvSpPr>
        <xdr:spPr>
          <a:xfrm>
            <a:off x="13881327" y="3956190"/>
            <a:ext cx="7411038" cy="62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2F1943"/>
                </a:solidFill>
                <a:effectLst/>
                <a:latin typeface="+mn-lt"/>
                <a:ea typeface="+mn-ea"/>
                <a:cs typeface="+mn-cs"/>
              </a:rPr>
              <a:t>The company generated</a:t>
            </a:r>
            <a:r>
              <a:rPr lang="en-US" sz="1200" b="0" baseline="0">
                <a:solidFill>
                  <a:srgbClr val="2F1943"/>
                </a:solidFill>
                <a:effectLst/>
                <a:latin typeface="+mn-lt"/>
                <a:ea typeface="+mn-ea"/>
                <a:cs typeface="+mn-cs"/>
              </a:rPr>
              <a:t> </a:t>
            </a:r>
            <a:r>
              <a:rPr lang="en-US" sz="1200" b="1" baseline="0">
                <a:solidFill>
                  <a:srgbClr val="2F1943"/>
                </a:solidFill>
                <a:effectLst/>
                <a:latin typeface="+mn-lt"/>
                <a:ea typeface="+mn-ea"/>
                <a:cs typeface="+mn-cs"/>
              </a:rPr>
              <a:t>high revenue,</a:t>
            </a:r>
            <a:r>
              <a:rPr lang="en-US" sz="1200" b="0" baseline="0">
                <a:solidFill>
                  <a:srgbClr val="2F1943"/>
                </a:solidFill>
                <a:effectLst/>
                <a:latin typeface="+mn-lt"/>
                <a:ea typeface="+mn-ea"/>
                <a:cs typeface="+mn-cs"/>
              </a:rPr>
              <a:t> but profit is only </a:t>
            </a:r>
            <a:r>
              <a:rPr lang="en-US" sz="1200" b="1" baseline="0">
                <a:solidFill>
                  <a:srgbClr val="2F1943"/>
                </a:solidFill>
                <a:effectLst/>
                <a:latin typeface="+mn-lt"/>
                <a:ea typeface="+mn-ea"/>
                <a:cs typeface="+mn-cs"/>
              </a:rPr>
              <a:t>14.3%</a:t>
            </a:r>
            <a:r>
              <a:rPr lang="en-US" sz="1200" b="0" baseline="0">
                <a:solidFill>
                  <a:srgbClr val="2F1943"/>
                </a:solidFill>
                <a:effectLst/>
                <a:latin typeface="+mn-lt"/>
                <a:ea typeface="+mn-ea"/>
                <a:cs typeface="+mn-cs"/>
              </a:rPr>
              <a:t> of total sales. This might be due to </a:t>
            </a:r>
            <a:r>
              <a:rPr lang="en-US" sz="1200" b="1" baseline="0">
                <a:solidFill>
                  <a:srgbClr val="2F1943"/>
                </a:solidFill>
                <a:effectLst/>
                <a:latin typeface="+mn-lt"/>
                <a:ea typeface="+mn-ea"/>
                <a:cs typeface="+mn-cs"/>
              </a:rPr>
              <a:t>high costs</a:t>
            </a:r>
            <a:r>
              <a:rPr lang="en-US" sz="1200" b="0" baseline="0">
                <a:solidFill>
                  <a:srgbClr val="2F1943"/>
                </a:solidFill>
                <a:effectLst/>
                <a:latin typeface="+mn-lt"/>
                <a:ea typeface="+mn-ea"/>
                <a:cs typeface="+mn-cs"/>
              </a:rPr>
              <a:t> or </a:t>
            </a:r>
            <a:r>
              <a:rPr lang="en-US" sz="1200" b="1" baseline="0">
                <a:solidFill>
                  <a:srgbClr val="2F1943"/>
                </a:solidFill>
                <a:effectLst/>
                <a:latin typeface="+mn-lt"/>
                <a:ea typeface="+mn-ea"/>
                <a:cs typeface="+mn-cs"/>
              </a:rPr>
              <a:t>discount strategies.</a:t>
            </a:r>
            <a:endParaRPr lang="en-US" sz="1200" b="1">
              <a:solidFill>
                <a:srgbClr val="2F1943"/>
              </a:solidFill>
              <a:effectLst/>
            </a:endParaRPr>
          </a:p>
        </xdr:txBody>
      </xdr:sp>
      <xdr:sp macro="" textlink="">
        <xdr:nvSpPr>
          <xdr:cNvPr id="67" name="TextBox 66">
            <a:extLst>
              <a:ext uri="{FF2B5EF4-FFF2-40B4-BE49-F238E27FC236}">
                <a16:creationId xmlns:a16="http://schemas.microsoft.com/office/drawing/2014/main" id="{A03A98FB-052C-4ED9-B6E5-2FFF7F9E2D7F}"/>
              </a:ext>
            </a:extLst>
          </xdr:cNvPr>
          <xdr:cNvSpPr txBox="1"/>
        </xdr:nvSpPr>
        <xdr:spPr>
          <a:xfrm>
            <a:off x="13860954" y="3634325"/>
            <a:ext cx="8297514" cy="60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baseline="0">
                <a:solidFill>
                  <a:srgbClr val="2F1943"/>
                </a:solidFill>
              </a:rPr>
              <a:t>High Revenue but Low Profit</a:t>
            </a:r>
            <a:endParaRPr lang="en-US" sz="1500" b="1">
              <a:solidFill>
                <a:srgbClr val="2F1943"/>
              </a:solidFill>
            </a:endParaRPr>
          </a:p>
        </xdr:txBody>
      </xdr:sp>
      <xdr:sp macro="" textlink="">
        <xdr:nvSpPr>
          <xdr:cNvPr id="68" name="TextBox 67">
            <a:extLst>
              <a:ext uri="{FF2B5EF4-FFF2-40B4-BE49-F238E27FC236}">
                <a16:creationId xmlns:a16="http://schemas.microsoft.com/office/drawing/2014/main" id="{312AA33E-CC18-44DE-9481-FF05EB4B5809}"/>
              </a:ext>
            </a:extLst>
          </xdr:cNvPr>
          <xdr:cNvSpPr txBox="1"/>
        </xdr:nvSpPr>
        <xdr:spPr>
          <a:xfrm>
            <a:off x="13578262" y="3645614"/>
            <a:ext cx="367277" cy="61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rgbClr val="2F1943"/>
                </a:solidFill>
              </a:rPr>
              <a:t>1.</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320675</xdr:colOff>
      <xdr:row>683</xdr:row>
      <xdr:rowOff>12699</xdr:rowOff>
    </xdr:from>
    <xdr:to>
      <xdr:col>27</xdr:col>
      <xdr:colOff>400050</xdr:colOff>
      <xdr:row>695</xdr:row>
      <xdr:rowOff>98424</xdr:rowOff>
    </xdr:to>
    <xdr:graphicFrame macro="">
      <xdr:nvGraphicFramePr>
        <xdr:cNvPr id="6" name="Chart 5">
          <a:extLst>
            <a:ext uri="{FF2B5EF4-FFF2-40B4-BE49-F238E27FC236}">
              <a16:creationId xmlns:a16="http://schemas.microsoft.com/office/drawing/2014/main" id="{ACD8F84F-E1BE-45F6-9396-9A1C34AF79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2</xdr:row>
      <xdr:rowOff>12700</xdr:rowOff>
    </xdr:from>
    <xdr:to>
      <xdr:col>13</xdr:col>
      <xdr:colOff>19050</xdr:colOff>
      <xdr:row>17</xdr:row>
      <xdr:rowOff>73025</xdr:rowOff>
    </xdr:to>
    <xdr:graphicFrame macro="">
      <xdr:nvGraphicFramePr>
        <xdr:cNvPr id="2" name="SalesOverTime">
          <a:extLst>
            <a:ext uri="{FF2B5EF4-FFF2-40B4-BE49-F238E27FC236}">
              <a16:creationId xmlns:a16="http://schemas.microsoft.com/office/drawing/2014/main" id="{B9921BA0-F330-483A-8D11-8AF434C7E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622300</xdr:colOff>
      <xdr:row>3</xdr:row>
      <xdr:rowOff>76201</xdr:rowOff>
    </xdr:from>
    <xdr:to>
      <xdr:col>11</xdr:col>
      <xdr:colOff>0</xdr:colOff>
      <xdr:row>18</xdr:row>
      <xdr:rowOff>0</xdr:rowOff>
    </xdr:to>
    <xdr:graphicFrame macro="">
      <xdr:nvGraphicFramePr>
        <xdr:cNvPr id="3" name="Sales by Segment">
          <a:extLst>
            <a:ext uri="{FF2B5EF4-FFF2-40B4-BE49-F238E27FC236}">
              <a16:creationId xmlns:a16="http://schemas.microsoft.com/office/drawing/2014/main" id="{3FC88C00-EAF7-4CD7-B32F-29797DA54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508000</xdr:colOff>
      <xdr:row>1</xdr:row>
      <xdr:rowOff>130175</xdr:rowOff>
    </xdr:from>
    <xdr:to>
      <xdr:col>10</xdr:col>
      <xdr:colOff>203200</xdr:colOff>
      <xdr:row>16</xdr:row>
      <xdr:rowOff>111125</xdr:rowOff>
    </xdr:to>
    <xdr:graphicFrame macro="">
      <xdr:nvGraphicFramePr>
        <xdr:cNvPr id="2" name="Chart 1">
          <a:extLst>
            <a:ext uri="{FF2B5EF4-FFF2-40B4-BE49-F238E27FC236}">
              <a16:creationId xmlns:a16="http://schemas.microsoft.com/office/drawing/2014/main" id="{629727F5-D4C2-4F53-AE86-81B35411B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165100</xdr:colOff>
      <xdr:row>2</xdr:row>
      <xdr:rowOff>6351</xdr:rowOff>
    </xdr:from>
    <xdr:to>
      <xdr:col>12</xdr:col>
      <xdr:colOff>273050</xdr:colOff>
      <xdr:row>16</xdr:row>
      <xdr:rowOff>12701</xdr:rowOff>
    </xdr:to>
    <xdr:graphicFrame macro="">
      <xdr:nvGraphicFramePr>
        <xdr:cNvPr id="2" name="Sales by Country">
          <a:extLst>
            <a:ext uri="{FF2B5EF4-FFF2-40B4-BE49-F238E27FC236}">
              <a16:creationId xmlns:a16="http://schemas.microsoft.com/office/drawing/2014/main" id="{A59EF410-6641-4832-BFDD-3367B2CF7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25400</xdr:colOff>
      <xdr:row>1</xdr:row>
      <xdr:rowOff>38101</xdr:rowOff>
    </xdr:from>
    <xdr:to>
      <xdr:col>11</xdr:col>
      <xdr:colOff>412750</xdr:colOff>
      <xdr:row>15</xdr:row>
      <xdr:rowOff>168275</xdr:rowOff>
    </xdr:to>
    <xdr:graphicFrame macro="">
      <xdr:nvGraphicFramePr>
        <xdr:cNvPr id="2" name="Chart 1">
          <a:extLst>
            <a:ext uri="{FF2B5EF4-FFF2-40B4-BE49-F238E27FC236}">
              <a16:creationId xmlns:a16="http://schemas.microsoft.com/office/drawing/2014/main" id="{E51BBD55-CF09-4CFC-8265-8EF5D31F8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88900</xdr:colOff>
      <xdr:row>9</xdr:row>
      <xdr:rowOff>25400</xdr:rowOff>
    </xdr:from>
    <xdr:to>
      <xdr:col>3</xdr:col>
      <xdr:colOff>273050</xdr:colOff>
      <xdr:row>22</xdr:row>
      <xdr:rowOff>155575</xdr:rowOff>
    </xdr:to>
    <mc:AlternateContent xmlns:mc="http://schemas.openxmlformats.org/markup-compatibility/2006" xmlns:a14="http://schemas.microsoft.com/office/drawing/2010/main">
      <mc:Choice Requires="a14">
        <xdr:graphicFrame macro="">
          <xdr:nvGraphicFramePr>
            <xdr:cNvPr id="3" name="Month Name 3">
              <a:extLst>
                <a:ext uri="{FF2B5EF4-FFF2-40B4-BE49-F238E27FC236}">
                  <a16:creationId xmlns:a16="http://schemas.microsoft.com/office/drawing/2014/main" id="{EEAEA480-C974-453F-BC04-A4A5ADFCFB1A}"/>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mlns="">
        <xdr:sp macro="" textlink="">
          <xdr:nvSpPr>
            <xdr:cNvPr id="0" name=""/>
            <xdr:cNvSpPr>
              <a:spLocks noTextEdit="1"/>
            </xdr:cNvSpPr>
          </xdr:nvSpPr>
          <xdr:spPr>
            <a:xfrm>
              <a:off x="952500" y="168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342900</xdr:colOff>
      <xdr:row>1</xdr:row>
      <xdr:rowOff>139701</xdr:rowOff>
    </xdr:from>
    <xdr:to>
      <xdr:col>12</xdr:col>
      <xdr:colOff>120650</xdr:colOff>
      <xdr:row>16</xdr:row>
      <xdr:rowOff>85725</xdr:rowOff>
    </xdr:to>
    <xdr:graphicFrame macro="">
      <xdr:nvGraphicFramePr>
        <xdr:cNvPr id="2" name="Chart 1">
          <a:extLst>
            <a:ext uri="{FF2B5EF4-FFF2-40B4-BE49-F238E27FC236}">
              <a16:creationId xmlns:a16="http://schemas.microsoft.com/office/drawing/2014/main" id="{9DFE6697-ECCA-4007-A21C-4B00850B6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12</xdr:row>
      <xdr:rowOff>0</xdr:rowOff>
    </xdr:from>
    <xdr:to>
      <xdr:col>23</xdr:col>
      <xdr:colOff>471286</xdr:colOff>
      <xdr:row>28</xdr:row>
      <xdr:rowOff>60127</xdr:rowOff>
    </xdr:to>
    <xdr:graphicFrame macro="">
      <xdr:nvGraphicFramePr>
        <xdr:cNvPr id="3" name="Chart 2">
          <a:extLst>
            <a:ext uri="{FF2B5EF4-FFF2-40B4-BE49-F238E27FC236}">
              <a16:creationId xmlns:a16="http://schemas.microsoft.com/office/drawing/2014/main" id="{D0BF2963-12F9-4D66-877A-9FC451063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584200</xdr:colOff>
      <xdr:row>2</xdr:row>
      <xdr:rowOff>19049</xdr:rowOff>
    </xdr:from>
    <xdr:to>
      <xdr:col>8</xdr:col>
      <xdr:colOff>577850</xdr:colOff>
      <xdr:row>13</xdr:row>
      <xdr:rowOff>139700</xdr:rowOff>
    </xdr:to>
    <xdr:graphicFrame macro="">
      <xdr:nvGraphicFramePr>
        <xdr:cNvPr id="4" name="Chart 3">
          <a:extLst>
            <a:ext uri="{FF2B5EF4-FFF2-40B4-BE49-F238E27FC236}">
              <a16:creationId xmlns:a16="http://schemas.microsoft.com/office/drawing/2014/main" id="{44E2F38D-53B6-4DFB-894C-D4460A6E2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336550</xdr:colOff>
      <xdr:row>2</xdr:row>
      <xdr:rowOff>41275</xdr:rowOff>
    </xdr:from>
    <xdr:to>
      <xdr:col>11</xdr:col>
      <xdr:colOff>31750</xdr:colOff>
      <xdr:row>17</xdr:row>
      <xdr:rowOff>22225</xdr:rowOff>
    </xdr:to>
    <xdr:graphicFrame macro="">
      <xdr:nvGraphicFramePr>
        <xdr:cNvPr id="2" name="Chart 1">
          <a:extLst>
            <a:ext uri="{FF2B5EF4-FFF2-40B4-BE49-F238E27FC236}">
              <a16:creationId xmlns:a16="http://schemas.microsoft.com/office/drawing/2014/main" id="{442920A2-8114-4397-B110-BEEC4110C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336550</xdr:colOff>
      <xdr:row>2</xdr:row>
      <xdr:rowOff>41275</xdr:rowOff>
    </xdr:from>
    <xdr:to>
      <xdr:col>11</xdr:col>
      <xdr:colOff>31750</xdr:colOff>
      <xdr:row>17</xdr:row>
      <xdr:rowOff>22225</xdr:rowOff>
    </xdr:to>
    <xdr:graphicFrame macro="">
      <xdr:nvGraphicFramePr>
        <xdr:cNvPr id="2" name="Chart 1">
          <a:extLst>
            <a:ext uri="{FF2B5EF4-FFF2-40B4-BE49-F238E27FC236}">
              <a16:creationId xmlns:a16="http://schemas.microsoft.com/office/drawing/2014/main" id="{F991D1B1-27AC-4C3F-A889-E248667B3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44450</xdr:colOff>
      <xdr:row>3</xdr:row>
      <xdr:rowOff>60325</xdr:rowOff>
    </xdr:from>
    <xdr:to>
      <xdr:col>9</xdr:col>
      <xdr:colOff>349250</xdr:colOff>
      <xdr:row>18</xdr:row>
      <xdr:rowOff>41275</xdr:rowOff>
    </xdr:to>
    <xdr:graphicFrame macro="">
      <xdr:nvGraphicFramePr>
        <xdr:cNvPr id="2" name="Chart 1">
          <a:extLst>
            <a:ext uri="{FF2B5EF4-FFF2-40B4-BE49-F238E27FC236}">
              <a16:creationId xmlns:a16="http://schemas.microsoft.com/office/drawing/2014/main" id="{FBC39BED-AC7C-4595-AA7B-BEC59DE7D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53975</xdr:colOff>
      <xdr:row>3</xdr:row>
      <xdr:rowOff>60325</xdr:rowOff>
    </xdr:from>
    <xdr:to>
      <xdr:col>12</xdr:col>
      <xdr:colOff>358775</xdr:colOff>
      <xdr:row>18</xdr:row>
      <xdr:rowOff>41275</xdr:rowOff>
    </xdr:to>
    <xdr:graphicFrame macro="">
      <xdr:nvGraphicFramePr>
        <xdr:cNvPr id="2" name="Chart 1">
          <a:extLst>
            <a:ext uri="{FF2B5EF4-FFF2-40B4-BE49-F238E27FC236}">
              <a16:creationId xmlns:a16="http://schemas.microsoft.com/office/drawing/2014/main" id="{58C0D172-A034-4944-B857-F025DD41C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st%20Project%20-%202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KPI"/>
      <sheetName val="Total Sales"/>
      <sheetName val="Top 5 Sales"/>
      <sheetName val="Top 5 Profit"/>
      <sheetName val="Orders"/>
    </sheet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33.180591319448" createdVersion="6" refreshedVersion="6" minRefreshableVersion="3" recordCount="704" xr:uid="{DD4CE5FB-73A7-4D96-A9E2-70CDC40F66D0}">
  <cacheSource type="worksheet">
    <worksheetSource name="Table2"/>
  </cacheSource>
  <cacheFields count="18">
    <cacheField name="Segment" numFmtId="0">
      <sharedItems count="5">
        <s v="Government"/>
        <s v="Midmarket"/>
        <s v="Channel Partners"/>
        <s v="Enterprise"/>
        <s v="Small Business"/>
      </sharedItems>
    </cacheField>
    <cacheField name="Country" numFmtId="0">
      <sharedItems count="6">
        <s v="Canada"/>
        <s v="Germany"/>
        <s v="France"/>
        <s v="Mexico"/>
        <s v="America"/>
        <s v="United States Of America" u="1"/>
      </sharedItems>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165">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165">
      <sharedItems containsSemiMixedTypes="0" containsString="0" containsNumber="1" minValue="1799" maxValue="1207500"/>
    </cacheField>
    <cacheField name="Discounts" numFmtId="165">
      <sharedItems containsSemiMixedTypes="0" containsString="0" containsNumber="1" minValue="0" maxValue="149677.5"/>
    </cacheField>
    <cacheField name="Sales" numFmtId="165">
      <sharedItems containsSemiMixedTypes="0" containsString="0" containsNumber="1" minValue="1655.08" maxValue="1159200"/>
    </cacheField>
    <cacheField name="COGS" numFmtId="165">
      <sharedItems containsSemiMixedTypes="0" containsString="0" containsNumber="1" minValue="918" maxValue="950625"/>
    </cacheField>
    <cacheField name="Profit" numFmtId="165">
      <sharedItems containsSemiMixedTypes="0" containsString="0" containsNumber="1" minValue="-40617.5" maxValue="262200"/>
    </cacheField>
    <cacheField name="Date" numFmtId="166">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base="12">
        <rangePr groupBy="months" startDate="2013-09-01T00:00:00" endDate="2014-12-02T00:00:00"/>
        <groupItems count="14">
          <s v="&lt;09/01/13"/>
          <s v="Jan"/>
          <s v="Feb"/>
          <s v="Mar"/>
          <s v="Apr"/>
          <s v="May"/>
          <s v="Jun"/>
          <s v="Jul"/>
          <s v="Aug"/>
          <s v="Sep"/>
          <s v="Oct"/>
          <s v="Nov"/>
          <s v="Dec"/>
          <s v="&gt;12/02/14"/>
        </groupItems>
      </fieldGroup>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acheField>
    <cacheField name="Discount Percentage" numFmtId="9">
      <sharedItems containsSemiMixedTypes="0" containsString="0" containsNumber="1" minValue="0" maxValue="0.15000000000000002"/>
    </cacheField>
    <cacheField name="Years" numFmtId="0" databaseField="0">
      <fieldGroup base="12">
        <rangePr groupBy="years" startDate="2013-09-01T00:00:00" endDate="2014-12-02T00:00:00"/>
        <groupItems count="4">
          <s v="&lt;09/01/13"/>
          <s v="2013"/>
          <s v="2014"/>
          <s v="&gt;12/02/14"/>
        </groupItems>
      </fieldGroup>
    </cacheField>
  </cacheFields>
  <extLst>
    <ext xmlns:x14="http://schemas.microsoft.com/office/spreadsheetml/2009/9/main" uri="{725AE2AE-9491-48be-B2B4-4EB974FC3084}">
      <x14:pivotCacheDefinition pivotCacheId="1884544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x v="0"/>
    <x v="0"/>
    <x v="0"/>
    <x v="0"/>
    <n v="1618.5"/>
    <n v="3"/>
    <n v="20"/>
    <n v="32370"/>
    <n v="0"/>
    <n v="32370"/>
    <n v="16185"/>
    <n v="16185"/>
    <x v="0"/>
    <n v="1"/>
    <x v="0"/>
    <s v="2014"/>
    <n v="0"/>
  </r>
  <r>
    <x v="0"/>
    <x v="1"/>
    <x v="0"/>
    <x v="0"/>
    <n v="1321"/>
    <n v="3"/>
    <n v="20"/>
    <n v="26420"/>
    <n v="0"/>
    <n v="26420"/>
    <n v="13210"/>
    <n v="13210"/>
    <x v="0"/>
    <n v="1"/>
    <x v="0"/>
    <s v="2014"/>
    <n v="0"/>
  </r>
  <r>
    <x v="1"/>
    <x v="2"/>
    <x v="0"/>
    <x v="0"/>
    <n v="2178"/>
    <n v="3"/>
    <n v="15"/>
    <n v="32670"/>
    <n v="0"/>
    <n v="32670"/>
    <n v="21780"/>
    <n v="10890"/>
    <x v="1"/>
    <n v="6"/>
    <x v="1"/>
    <s v="2014"/>
    <n v="0"/>
  </r>
  <r>
    <x v="1"/>
    <x v="1"/>
    <x v="0"/>
    <x v="0"/>
    <n v="888"/>
    <n v="3"/>
    <n v="15"/>
    <n v="13320"/>
    <n v="0"/>
    <n v="13320"/>
    <n v="8880"/>
    <n v="4440"/>
    <x v="1"/>
    <n v="6"/>
    <x v="1"/>
    <s v="2014"/>
    <n v="0"/>
  </r>
  <r>
    <x v="1"/>
    <x v="3"/>
    <x v="0"/>
    <x v="0"/>
    <n v="2470"/>
    <n v="3"/>
    <n v="15"/>
    <n v="37050"/>
    <n v="0"/>
    <n v="37050"/>
    <n v="24700"/>
    <n v="12350"/>
    <x v="1"/>
    <n v="6"/>
    <x v="1"/>
    <s v="2014"/>
    <n v="0"/>
  </r>
  <r>
    <x v="0"/>
    <x v="1"/>
    <x v="0"/>
    <x v="0"/>
    <n v="1513"/>
    <n v="3"/>
    <n v="350"/>
    <n v="529550"/>
    <n v="0"/>
    <n v="529550"/>
    <n v="393380"/>
    <n v="136170"/>
    <x v="2"/>
    <n v="12"/>
    <x v="2"/>
    <s v="2014"/>
    <n v="0"/>
  </r>
  <r>
    <x v="1"/>
    <x v="1"/>
    <x v="1"/>
    <x v="0"/>
    <n v="921"/>
    <n v="5"/>
    <n v="15"/>
    <n v="13815"/>
    <n v="0"/>
    <n v="13815"/>
    <n v="9210"/>
    <n v="4605"/>
    <x v="3"/>
    <n v="3"/>
    <x v="3"/>
    <s v="2014"/>
    <n v="0"/>
  </r>
  <r>
    <x v="2"/>
    <x v="0"/>
    <x v="1"/>
    <x v="0"/>
    <n v="2518"/>
    <n v="5"/>
    <n v="12"/>
    <n v="30216"/>
    <n v="0"/>
    <n v="30216"/>
    <n v="7554"/>
    <n v="22662"/>
    <x v="1"/>
    <n v="6"/>
    <x v="1"/>
    <s v="2014"/>
    <n v="0"/>
  </r>
  <r>
    <x v="0"/>
    <x v="2"/>
    <x v="1"/>
    <x v="0"/>
    <n v="1899"/>
    <n v="5"/>
    <n v="20"/>
    <n v="37980"/>
    <n v="0"/>
    <n v="37980"/>
    <n v="18990"/>
    <n v="18990"/>
    <x v="1"/>
    <n v="6"/>
    <x v="1"/>
    <s v="2014"/>
    <n v="0"/>
  </r>
  <r>
    <x v="2"/>
    <x v="1"/>
    <x v="1"/>
    <x v="0"/>
    <n v="1545"/>
    <n v="5"/>
    <n v="12"/>
    <n v="18540"/>
    <n v="0"/>
    <n v="18540"/>
    <n v="4635"/>
    <n v="13905"/>
    <x v="1"/>
    <n v="6"/>
    <x v="1"/>
    <s v="2014"/>
    <n v="0"/>
  </r>
  <r>
    <x v="1"/>
    <x v="3"/>
    <x v="1"/>
    <x v="0"/>
    <n v="2470"/>
    <n v="5"/>
    <n v="15"/>
    <n v="37050"/>
    <n v="0"/>
    <n v="37050"/>
    <n v="24700"/>
    <n v="12350"/>
    <x v="1"/>
    <n v="6"/>
    <x v="1"/>
    <s v="2014"/>
    <n v="0"/>
  </r>
  <r>
    <x v="3"/>
    <x v="0"/>
    <x v="1"/>
    <x v="0"/>
    <n v="2665.5"/>
    <n v="5"/>
    <n v="125"/>
    <n v="333187.5"/>
    <n v="0"/>
    <n v="333187.5"/>
    <n v="319860"/>
    <n v="13327.5"/>
    <x v="4"/>
    <n v="7"/>
    <x v="4"/>
    <s v="2014"/>
    <n v="0"/>
  </r>
  <r>
    <x v="4"/>
    <x v="3"/>
    <x v="1"/>
    <x v="0"/>
    <n v="958"/>
    <n v="5"/>
    <n v="300"/>
    <n v="287400"/>
    <n v="0"/>
    <n v="287400"/>
    <n v="239500"/>
    <n v="47900"/>
    <x v="5"/>
    <n v="8"/>
    <x v="5"/>
    <s v="2014"/>
    <n v="0"/>
  </r>
  <r>
    <x v="0"/>
    <x v="1"/>
    <x v="1"/>
    <x v="0"/>
    <n v="2146"/>
    <n v="5"/>
    <n v="7"/>
    <n v="15022"/>
    <n v="0"/>
    <n v="15022"/>
    <n v="10730"/>
    <n v="4292"/>
    <x v="6"/>
    <n v="9"/>
    <x v="6"/>
    <s v="2014"/>
    <n v="0"/>
  </r>
  <r>
    <x v="3"/>
    <x v="0"/>
    <x v="1"/>
    <x v="0"/>
    <n v="345"/>
    <n v="5"/>
    <n v="125"/>
    <n v="43125"/>
    <n v="0"/>
    <n v="43125"/>
    <n v="41400"/>
    <n v="1725"/>
    <x v="7"/>
    <n v="10"/>
    <x v="7"/>
    <s v="2013"/>
    <n v="0"/>
  </r>
  <r>
    <x v="1"/>
    <x v="4"/>
    <x v="1"/>
    <x v="0"/>
    <n v="615"/>
    <n v="5"/>
    <n v="15"/>
    <n v="9225"/>
    <n v="0"/>
    <n v="9225"/>
    <n v="6150"/>
    <n v="3075"/>
    <x v="2"/>
    <n v="12"/>
    <x v="2"/>
    <s v="2014"/>
    <n v="0"/>
  </r>
  <r>
    <x v="0"/>
    <x v="0"/>
    <x v="2"/>
    <x v="0"/>
    <n v="292"/>
    <n v="10"/>
    <n v="20"/>
    <n v="5840"/>
    <n v="0"/>
    <n v="5840"/>
    <n v="2920"/>
    <n v="2920"/>
    <x v="8"/>
    <n v="2"/>
    <x v="8"/>
    <s v="2014"/>
    <n v="0"/>
  </r>
  <r>
    <x v="1"/>
    <x v="3"/>
    <x v="2"/>
    <x v="0"/>
    <n v="974"/>
    <n v="10"/>
    <n v="15"/>
    <n v="14610"/>
    <n v="0"/>
    <n v="14610"/>
    <n v="9740"/>
    <n v="4870"/>
    <x v="8"/>
    <n v="2"/>
    <x v="8"/>
    <s v="2014"/>
    <n v="0"/>
  </r>
  <r>
    <x v="2"/>
    <x v="0"/>
    <x v="2"/>
    <x v="0"/>
    <n v="2518"/>
    <n v="10"/>
    <n v="12"/>
    <n v="30216"/>
    <n v="0"/>
    <n v="30216"/>
    <n v="7554"/>
    <n v="22662"/>
    <x v="1"/>
    <n v="6"/>
    <x v="1"/>
    <s v="2014"/>
    <n v="0"/>
  </r>
  <r>
    <x v="0"/>
    <x v="1"/>
    <x v="2"/>
    <x v="0"/>
    <n v="1006"/>
    <n v="10"/>
    <n v="350"/>
    <n v="352100"/>
    <n v="0"/>
    <n v="352100"/>
    <n v="261560"/>
    <n v="90540"/>
    <x v="1"/>
    <n v="6"/>
    <x v="1"/>
    <s v="2014"/>
    <n v="0"/>
  </r>
  <r>
    <x v="2"/>
    <x v="1"/>
    <x v="2"/>
    <x v="0"/>
    <n v="367"/>
    <n v="10"/>
    <n v="12"/>
    <n v="4404"/>
    <n v="0"/>
    <n v="4404"/>
    <n v="1101"/>
    <n v="3303"/>
    <x v="4"/>
    <n v="7"/>
    <x v="4"/>
    <s v="2014"/>
    <n v="0"/>
  </r>
  <r>
    <x v="0"/>
    <x v="3"/>
    <x v="2"/>
    <x v="0"/>
    <n v="883"/>
    <n v="10"/>
    <n v="7"/>
    <n v="6181"/>
    <n v="0"/>
    <n v="6181"/>
    <n v="4415"/>
    <n v="1766"/>
    <x v="5"/>
    <n v="8"/>
    <x v="5"/>
    <s v="2014"/>
    <n v="0"/>
  </r>
  <r>
    <x v="1"/>
    <x v="2"/>
    <x v="2"/>
    <x v="0"/>
    <n v="549"/>
    <n v="10"/>
    <n v="15"/>
    <n v="8235"/>
    <n v="0"/>
    <n v="8235"/>
    <n v="5490"/>
    <n v="2745"/>
    <x v="9"/>
    <n v="9"/>
    <x v="6"/>
    <s v="2013"/>
    <n v="0"/>
  </r>
  <r>
    <x v="4"/>
    <x v="3"/>
    <x v="2"/>
    <x v="0"/>
    <n v="788"/>
    <n v="10"/>
    <n v="300"/>
    <n v="236400"/>
    <n v="0"/>
    <n v="236400"/>
    <n v="197000"/>
    <n v="39400"/>
    <x v="9"/>
    <n v="9"/>
    <x v="6"/>
    <s v="2013"/>
    <n v="0"/>
  </r>
  <r>
    <x v="1"/>
    <x v="3"/>
    <x v="2"/>
    <x v="0"/>
    <n v="2472"/>
    <n v="10"/>
    <n v="15"/>
    <n v="37080"/>
    <n v="0"/>
    <n v="37080"/>
    <n v="24720"/>
    <n v="12360"/>
    <x v="6"/>
    <n v="9"/>
    <x v="6"/>
    <s v="2014"/>
    <n v="0"/>
  </r>
  <r>
    <x v="0"/>
    <x v="4"/>
    <x v="2"/>
    <x v="0"/>
    <n v="1143"/>
    <n v="10"/>
    <n v="7"/>
    <n v="8001"/>
    <n v="0"/>
    <n v="8001"/>
    <n v="5715"/>
    <n v="2286"/>
    <x v="10"/>
    <n v="10"/>
    <x v="7"/>
    <s v="2014"/>
    <n v="0"/>
  </r>
  <r>
    <x v="0"/>
    <x v="0"/>
    <x v="2"/>
    <x v="0"/>
    <n v="1725"/>
    <n v="10"/>
    <n v="350"/>
    <n v="603750"/>
    <n v="0"/>
    <n v="603750"/>
    <n v="448500"/>
    <n v="155250"/>
    <x v="11"/>
    <n v="11"/>
    <x v="9"/>
    <s v="2013"/>
    <n v="0"/>
  </r>
  <r>
    <x v="2"/>
    <x v="4"/>
    <x v="2"/>
    <x v="0"/>
    <n v="912"/>
    <n v="10"/>
    <n v="12"/>
    <n v="10944"/>
    <n v="0"/>
    <n v="10944"/>
    <n v="2736"/>
    <n v="8208"/>
    <x v="11"/>
    <n v="11"/>
    <x v="9"/>
    <s v="2013"/>
    <n v="0"/>
  </r>
  <r>
    <x v="1"/>
    <x v="0"/>
    <x v="2"/>
    <x v="0"/>
    <n v="2152"/>
    <n v="10"/>
    <n v="15"/>
    <n v="32280"/>
    <n v="0"/>
    <n v="32280"/>
    <n v="21520"/>
    <n v="10760"/>
    <x v="12"/>
    <n v="12"/>
    <x v="2"/>
    <s v="2013"/>
    <n v="0"/>
  </r>
  <r>
    <x v="0"/>
    <x v="0"/>
    <x v="2"/>
    <x v="0"/>
    <n v="1817"/>
    <n v="10"/>
    <n v="20"/>
    <n v="36340"/>
    <n v="0"/>
    <n v="36340"/>
    <n v="18170"/>
    <n v="18170"/>
    <x v="2"/>
    <n v="12"/>
    <x v="2"/>
    <s v="2014"/>
    <n v="0"/>
  </r>
  <r>
    <x v="0"/>
    <x v="1"/>
    <x v="2"/>
    <x v="0"/>
    <n v="1513"/>
    <n v="10"/>
    <n v="350"/>
    <n v="529550"/>
    <n v="0"/>
    <n v="529550"/>
    <n v="393380"/>
    <n v="136170"/>
    <x v="2"/>
    <n v="12"/>
    <x v="2"/>
    <s v="2014"/>
    <n v="0"/>
  </r>
  <r>
    <x v="0"/>
    <x v="3"/>
    <x v="3"/>
    <x v="0"/>
    <n v="1493"/>
    <n v="120"/>
    <n v="7"/>
    <n v="10451"/>
    <n v="0"/>
    <n v="10451"/>
    <n v="7465"/>
    <n v="2986"/>
    <x v="0"/>
    <n v="1"/>
    <x v="0"/>
    <s v="2014"/>
    <n v="0"/>
  </r>
  <r>
    <x v="3"/>
    <x v="2"/>
    <x v="3"/>
    <x v="0"/>
    <n v="1804"/>
    <n v="120"/>
    <n v="125"/>
    <n v="225500"/>
    <n v="0"/>
    <n v="225500"/>
    <n v="216480"/>
    <n v="9020"/>
    <x v="8"/>
    <n v="2"/>
    <x v="8"/>
    <s v="2014"/>
    <n v="0"/>
  </r>
  <r>
    <x v="2"/>
    <x v="1"/>
    <x v="3"/>
    <x v="0"/>
    <n v="2161"/>
    <n v="120"/>
    <n v="12"/>
    <n v="25932"/>
    <n v="0"/>
    <n v="25932"/>
    <n v="6483"/>
    <n v="19449"/>
    <x v="3"/>
    <n v="3"/>
    <x v="3"/>
    <s v="2014"/>
    <n v="0"/>
  </r>
  <r>
    <x v="0"/>
    <x v="1"/>
    <x v="3"/>
    <x v="0"/>
    <n v="1006"/>
    <n v="120"/>
    <n v="350"/>
    <n v="352100"/>
    <n v="0"/>
    <n v="352100"/>
    <n v="261560"/>
    <n v="90540"/>
    <x v="1"/>
    <n v="6"/>
    <x v="1"/>
    <s v="2014"/>
    <n v="0"/>
  </r>
  <r>
    <x v="2"/>
    <x v="1"/>
    <x v="3"/>
    <x v="0"/>
    <n v="1545"/>
    <n v="120"/>
    <n v="12"/>
    <n v="18540"/>
    <n v="0"/>
    <n v="18540"/>
    <n v="4635"/>
    <n v="13905"/>
    <x v="1"/>
    <n v="6"/>
    <x v="1"/>
    <s v="2014"/>
    <n v="0"/>
  </r>
  <r>
    <x v="3"/>
    <x v="4"/>
    <x v="3"/>
    <x v="0"/>
    <n v="2821"/>
    <n v="120"/>
    <n v="125"/>
    <n v="352625"/>
    <n v="0"/>
    <n v="352625"/>
    <n v="338520"/>
    <n v="14105"/>
    <x v="5"/>
    <n v="8"/>
    <x v="5"/>
    <s v="2014"/>
    <n v="0"/>
  </r>
  <r>
    <x v="3"/>
    <x v="0"/>
    <x v="3"/>
    <x v="0"/>
    <n v="345"/>
    <n v="120"/>
    <n v="125"/>
    <n v="43125"/>
    <n v="0"/>
    <n v="43125"/>
    <n v="41400"/>
    <n v="1725"/>
    <x v="7"/>
    <n v="10"/>
    <x v="7"/>
    <s v="2013"/>
    <n v="0"/>
  </r>
  <r>
    <x v="4"/>
    <x v="0"/>
    <x v="4"/>
    <x v="0"/>
    <n v="2001"/>
    <n v="250"/>
    <n v="300"/>
    <n v="600300"/>
    <n v="0"/>
    <n v="600300"/>
    <n v="500250"/>
    <n v="100050"/>
    <x v="8"/>
    <n v="2"/>
    <x v="8"/>
    <s v="2014"/>
    <n v="0"/>
  </r>
  <r>
    <x v="2"/>
    <x v="1"/>
    <x v="4"/>
    <x v="0"/>
    <n v="2838"/>
    <n v="250"/>
    <n v="12"/>
    <n v="34056"/>
    <n v="0"/>
    <n v="34056"/>
    <n v="8514"/>
    <n v="25542"/>
    <x v="13"/>
    <n v="4"/>
    <x v="10"/>
    <s v="2014"/>
    <n v="0"/>
  </r>
  <r>
    <x v="1"/>
    <x v="2"/>
    <x v="4"/>
    <x v="0"/>
    <n v="2178"/>
    <n v="250"/>
    <n v="15"/>
    <n v="32670"/>
    <n v="0"/>
    <n v="32670"/>
    <n v="21780"/>
    <n v="10890"/>
    <x v="1"/>
    <n v="6"/>
    <x v="1"/>
    <s v="2014"/>
    <n v="0"/>
  </r>
  <r>
    <x v="1"/>
    <x v="1"/>
    <x v="4"/>
    <x v="0"/>
    <n v="888"/>
    <n v="250"/>
    <n v="15"/>
    <n v="13320"/>
    <n v="0"/>
    <n v="13320"/>
    <n v="8880"/>
    <n v="4440"/>
    <x v="1"/>
    <n v="6"/>
    <x v="1"/>
    <s v="2014"/>
    <n v="0"/>
  </r>
  <r>
    <x v="0"/>
    <x v="2"/>
    <x v="4"/>
    <x v="0"/>
    <n v="1527"/>
    <n v="250"/>
    <n v="350"/>
    <n v="534450"/>
    <n v="0"/>
    <n v="534450"/>
    <n v="397020"/>
    <n v="137430"/>
    <x v="9"/>
    <n v="9"/>
    <x v="6"/>
    <s v="2013"/>
    <n v="0"/>
  </r>
  <r>
    <x v="4"/>
    <x v="2"/>
    <x v="4"/>
    <x v="0"/>
    <n v="2151"/>
    <n v="250"/>
    <n v="300"/>
    <n v="645300"/>
    <n v="0"/>
    <n v="645300"/>
    <n v="537750"/>
    <n v="107550"/>
    <x v="6"/>
    <n v="9"/>
    <x v="6"/>
    <s v="2014"/>
    <n v="0"/>
  </r>
  <r>
    <x v="0"/>
    <x v="0"/>
    <x v="4"/>
    <x v="0"/>
    <n v="1817"/>
    <n v="250"/>
    <n v="20"/>
    <n v="36340"/>
    <n v="0"/>
    <n v="36340"/>
    <n v="18170"/>
    <n v="18170"/>
    <x v="2"/>
    <n v="12"/>
    <x v="2"/>
    <s v="2014"/>
    <n v="0"/>
  </r>
  <r>
    <x v="0"/>
    <x v="2"/>
    <x v="5"/>
    <x v="0"/>
    <n v="2750"/>
    <n v="260"/>
    <n v="350"/>
    <n v="962500"/>
    <n v="0"/>
    <n v="962500"/>
    <n v="715000"/>
    <n v="247500"/>
    <x v="8"/>
    <n v="2"/>
    <x v="8"/>
    <s v="2014"/>
    <n v="0"/>
  </r>
  <r>
    <x v="2"/>
    <x v="4"/>
    <x v="5"/>
    <x v="0"/>
    <n v="1953"/>
    <n v="260"/>
    <n v="12"/>
    <n v="23436"/>
    <n v="0"/>
    <n v="23436"/>
    <n v="5859"/>
    <n v="17577"/>
    <x v="13"/>
    <n v="4"/>
    <x v="10"/>
    <s v="2014"/>
    <n v="0"/>
  </r>
  <r>
    <x v="2"/>
    <x v="4"/>
    <x v="5"/>
    <x v="0"/>
    <n v="1953"/>
    <n v="260"/>
    <n v="12"/>
    <n v="23436"/>
    <n v="0"/>
    <n v="23436"/>
    <n v="5859"/>
    <n v="17577"/>
    <x v="13"/>
    <n v="4"/>
    <x v="10"/>
    <s v="2014"/>
    <n v="0"/>
  </r>
  <r>
    <x v="3"/>
    <x v="1"/>
    <x v="5"/>
    <x v="0"/>
    <n v="4219.5"/>
    <n v="260"/>
    <n v="125"/>
    <n v="527437.5"/>
    <n v="0"/>
    <n v="527437.5"/>
    <n v="506340"/>
    <n v="21097.5"/>
    <x v="13"/>
    <n v="4"/>
    <x v="10"/>
    <s v="2014"/>
    <n v="0"/>
  </r>
  <r>
    <x v="0"/>
    <x v="2"/>
    <x v="5"/>
    <x v="0"/>
    <n v="1899"/>
    <n v="260"/>
    <n v="20"/>
    <n v="37980"/>
    <n v="0"/>
    <n v="37980"/>
    <n v="18990"/>
    <n v="18990"/>
    <x v="1"/>
    <n v="6"/>
    <x v="1"/>
    <s v="2014"/>
    <n v="0"/>
  </r>
  <r>
    <x v="0"/>
    <x v="1"/>
    <x v="5"/>
    <x v="0"/>
    <n v="1686"/>
    <n v="260"/>
    <n v="7"/>
    <n v="11802"/>
    <n v="0"/>
    <n v="11802"/>
    <n v="8430"/>
    <n v="3372"/>
    <x v="4"/>
    <n v="7"/>
    <x v="4"/>
    <s v="2014"/>
    <n v="0"/>
  </r>
  <r>
    <x v="2"/>
    <x v="4"/>
    <x v="5"/>
    <x v="0"/>
    <n v="2141"/>
    <n v="260"/>
    <n v="12"/>
    <n v="25692"/>
    <n v="0"/>
    <n v="25692"/>
    <n v="6423"/>
    <n v="19269"/>
    <x v="5"/>
    <n v="8"/>
    <x v="5"/>
    <s v="2014"/>
    <n v="0"/>
  </r>
  <r>
    <x v="0"/>
    <x v="4"/>
    <x v="5"/>
    <x v="0"/>
    <n v="1143"/>
    <n v="260"/>
    <n v="7"/>
    <n v="8001"/>
    <n v="0"/>
    <n v="8001"/>
    <n v="5715"/>
    <n v="2286"/>
    <x v="10"/>
    <n v="10"/>
    <x v="7"/>
    <s v="2014"/>
    <n v="0"/>
  </r>
  <r>
    <x v="1"/>
    <x v="4"/>
    <x v="5"/>
    <x v="0"/>
    <n v="615"/>
    <n v="260"/>
    <n v="15"/>
    <n v="9225"/>
    <n v="0"/>
    <n v="9225"/>
    <n v="6150"/>
    <n v="3075"/>
    <x v="2"/>
    <n v="12"/>
    <x v="2"/>
    <s v="2014"/>
    <n v="0"/>
  </r>
  <r>
    <x v="1"/>
    <x v="4"/>
    <x v="5"/>
    <x v="0"/>
    <n v="615"/>
    <n v="260"/>
    <n v="15"/>
    <n v="9225"/>
    <n v="0"/>
    <n v="9225"/>
    <n v="6150"/>
    <n v="3075"/>
    <x v="2"/>
    <n v="12"/>
    <x v="2"/>
    <s v="2014"/>
    <n v="0"/>
  </r>
  <r>
    <x v="0"/>
    <x v="2"/>
    <x v="2"/>
    <x v="1"/>
    <n v="3945"/>
    <n v="10"/>
    <n v="7"/>
    <n v="27615"/>
    <n v="276.14999999999998"/>
    <n v="27338.850000000002"/>
    <n v="19725"/>
    <n v="7613.8500000000022"/>
    <x v="0"/>
    <n v="1"/>
    <x v="0"/>
    <s v="2014"/>
    <n v="9.9999999999999985E-3"/>
  </r>
  <r>
    <x v="1"/>
    <x v="2"/>
    <x v="2"/>
    <x v="1"/>
    <n v="2296"/>
    <n v="10"/>
    <n v="15"/>
    <n v="34440"/>
    <n v="344.4"/>
    <n v="34095.599999999999"/>
    <n v="22960"/>
    <n v="11135.599999999999"/>
    <x v="8"/>
    <n v="2"/>
    <x v="8"/>
    <s v="2014"/>
    <n v="9.9999999999999985E-3"/>
  </r>
  <r>
    <x v="0"/>
    <x v="2"/>
    <x v="2"/>
    <x v="1"/>
    <n v="1030"/>
    <n v="10"/>
    <n v="7"/>
    <n v="7210"/>
    <n v="72.099999999999994"/>
    <n v="7137.9"/>
    <n v="5150"/>
    <n v="1987.8999999999996"/>
    <x v="14"/>
    <n v="5"/>
    <x v="11"/>
    <s v="2014"/>
    <n v="9.9999999999999985E-3"/>
  </r>
  <r>
    <x v="0"/>
    <x v="2"/>
    <x v="3"/>
    <x v="1"/>
    <n v="639"/>
    <n v="120"/>
    <n v="7"/>
    <n v="4473"/>
    <n v="44.73"/>
    <n v="4428.2700000000004"/>
    <n v="3195"/>
    <n v="1233.2700000000004"/>
    <x v="15"/>
    <n v="11"/>
    <x v="9"/>
    <s v="2014"/>
    <n v="9.9999999999999985E-3"/>
  </r>
  <r>
    <x v="0"/>
    <x v="0"/>
    <x v="4"/>
    <x v="1"/>
    <n v="1326"/>
    <n v="250"/>
    <n v="7"/>
    <n v="9282"/>
    <n v="92.82"/>
    <n v="9189.18"/>
    <n v="6630"/>
    <n v="2559.1800000000003"/>
    <x v="3"/>
    <n v="3"/>
    <x v="3"/>
    <s v="2014"/>
    <n v="9.9999999999999985E-3"/>
  </r>
  <r>
    <x v="2"/>
    <x v="4"/>
    <x v="0"/>
    <x v="1"/>
    <n v="1858"/>
    <n v="3"/>
    <n v="12"/>
    <n v="22296"/>
    <n v="222.96"/>
    <n v="22073.040000000001"/>
    <n v="5574"/>
    <n v="16499.04"/>
    <x v="8"/>
    <n v="2"/>
    <x v="8"/>
    <s v="2014"/>
    <n v="0.01"/>
  </r>
  <r>
    <x v="0"/>
    <x v="3"/>
    <x v="0"/>
    <x v="1"/>
    <n v="1210"/>
    <n v="3"/>
    <n v="350"/>
    <n v="423500"/>
    <n v="4235"/>
    <n v="419265"/>
    <n v="314600"/>
    <n v="104665"/>
    <x v="3"/>
    <n v="3"/>
    <x v="3"/>
    <s v="2014"/>
    <n v="0.01"/>
  </r>
  <r>
    <x v="0"/>
    <x v="3"/>
    <x v="0"/>
    <x v="1"/>
    <n v="1210"/>
    <n v="3"/>
    <n v="350"/>
    <n v="423500"/>
    <n v="4235"/>
    <n v="419265"/>
    <n v="314600"/>
    <n v="104665"/>
    <x v="3"/>
    <n v="3"/>
    <x v="3"/>
    <s v="2014"/>
    <n v="0.01"/>
  </r>
  <r>
    <x v="0"/>
    <x v="4"/>
    <x v="0"/>
    <x v="1"/>
    <n v="2529"/>
    <n v="3"/>
    <n v="7"/>
    <n v="17703"/>
    <n v="177.03"/>
    <n v="17525.97"/>
    <n v="12645"/>
    <n v="4880.9699999999993"/>
    <x v="4"/>
    <n v="7"/>
    <x v="4"/>
    <s v="2014"/>
    <n v="0.01"/>
  </r>
  <r>
    <x v="2"/>
    <x v="0"/>
    <x v="0"/>
    <x v="1"/>
    <n v="1445"/>
    <n v="3"/>
    <n v="12"/>
    <n v="17340"/>
    <n v="173.4"/>
    <n v="17166.599999999999"/>
    <n v="4335"/>
    <n v="12831.599999999999"/>
    <x v="6"/>
    <n v="9"/>
    <x v="6"/>
    <s v="2014"/>
    <n v="0.01"/>
  </r>
  <r>
    <x v="3"/>
    <x v="4"/>
    <x v="0"/>
    <x v="1"/>
    <n v="330"/>
    <n v="3"/>
    <n v="125"/>
    <n v="41250"/>
    <n v="412.5"/>
    <n v="40837.5"/>
    <n v="39600"/>
    <n v="1237.5"/>
    <x v="9"/>
    <n v="9"/>
    <x v="6"/>
    <s v="2013"/>
    <n v="0.01"/>
  </r>
  <r>
    <x v="2"/>
    <x v="2"/>
    <x v="0"/>
    <x v="1"/>
    <n v="2671"/>
    <n v="3"/>
    <n v="12"/>
    <n v="32052"/>
    <n v="320.52"/>
    <n v="31731.48"/>
    <n v="8013"/>
    <n v="23718.48"/>
    <x v="6"/>
    <n v="9"/>
    <x v="6"/>
    <s v="2014"/>
    <n v="0.01"/>
  </r>
  <r>
    <x v="2"/>
    <x v="1"/>
    <x v="0"/>
    <x v="1"/>
    <n v="766"/>
    <n v="3"/>
    <n v="12"/>
    <n v="9192"/>
    <n v="91.92"/>
    <n v="9100.08"/>
    <n v="2298"/>
    <n v="6802.08"/>
    <x v="7"/>
    <n v="10"/>
    <x v="7"/>
    <s v="2013"/>
    <n v="0.01"/>
  </r>
  <r>
    <x v="4"/>
    <x v="3"/>
    <x v="0"/>
    <x v="1"/>
    <n v="494"/>
    <n v="3"/>
    <n v="300"/>
    <n v="148200"/>
    <n v="1482"/>
    <n v="146718"/>
    <n v="123500"/>
    <n v="23218"/>
    <x v="7"/>
    <n v="10"/>
    <x v="7"/>
    <s v="2013"/>
    <n v="0.01"/>
  </r>
  <r>
    <x v="0"/>
    <x v="3"/>
    <x v="0"/>
    <x v="1"/>
    <n v="1397"/>
    <n v="3"/>
    <n v="350"/>
    <n v="488950"/>
    <n v="4889.5"/>
    <n v="484060.5"/>
    <n v="363220"/>
    <n v="120840.5"/>
    <x v="10"/>
    <n v="10"/>
    <x v="7"/>
    <s v="2014"/>
    <n v="0.01"/>
  </r>
  <r>
    <x v="0"/>
    <x v="2"/>
    <x v="0"/>
    <x v="1"/>
    <n v="2155"/>
    <n v="3"/>
    <n v="350"/>
    <n v="754250"/>
    <n v="7542.5"/>
    <n v="746707.5"/>
    <n v="560300"/>
    <n v="186407.5"/>
    <x v="2"/>
    <n v="12"/>
    <x v="2"/>
    <s v="2014"/>
    <n v="0.01"/>
  </r>
  <r>
    <x v="1"/>
    <x v="3"/>
    <x v="1"/>
    <x v="1"/>
    <n v="2214"/>
    <n v="5"/>
    <n v="15"/>
    <n v="33210"/>
    <n v="332.1"/>
    <n v="32877.9"/>
    <n v="22140"/>
    <n v="10737.900000000001"/>
    <x v="3"/>
    <n v="3"/>
    <x v="3"/>
    <s v="2014"/>
    <n v="0.01"/>
  </r>
  <r>
    <x v="4"/>
    <x v="4"/>
    <x v="1"/>
    <x v="1"/>
    <n v="2301"/>
    <n v="5"/>
    <n v="300"/>
    <n v="690300"/>
    <n v="6903"/>
    <n v="683397"/>
    <n v="575250"/>
    <n v="108147"/>
    <x v="13"/>
    <n v="4"/>
    <x v="10"/>
    <s v="2014"/>
    <n v="0.01"/>
  </r>
  <r>
    <x v="0"/>
    <x v="2"/>
    <x v="1"/>
    <x v="1"/>
    <n v="1375.5"/>
    <n v="5"/>
    <n v="20"/>
    <n v="27510"/>
    <n v="275.10000000000002"/>
    <n v="27234.899999999998"/>
    <n v="13755"/>
    <n v="13479.899999999998"/>
    <x v="4"/>
    <n v="7"/>
    <x v="4"/>
    <s v="2014"/>
    <n v="0.01"/>
  </r>
  <r>
    <x v="0"/>
    <x v="0"/>
    <x v="1"/>
    <x v="1"/>
    <n v="1830"/>
    <n v="5"/>
    <n v="7"/>
    <n v="12810"/>
    <n v="128.1"/>
    <n v="12681.9"/>
    <n v="9150"/>
    <n v="3531.8999999999996"/>
    <x v="5"/>
    <n v="8"/>
    <x v="5"/>
    <s v="2014"/>
    <n v="0.01"/>
  </r>
  <r>
    <x v="4"/>
    <x v="4"/>
    <x v="1"/>
    <x v="1"/>
    <n v="2498"/>
    <n v="5"/>
    <n v="300"/>
    <n v="749400"/>
    <n v="7494"/>
    <n v="741906"/>
    <n v="624500"/>
    <n v="117406"/>
    <x v="9"/>
    <n v="9"/>
    <x v="6"/>
    <s v="2013"/>
    <n v="0.01"/>
  </r>
  <r>
    <x v="4"/>
    <x v="4"/>
    <x v="1"/>
    <x v="1"/>
    <n v="2498"/>
    <n v="5"/>
    <n v="300"/>
    <n v="749400"/>
    <n v="7494"/>
    <n v="741906"/>
    <n v="624500"/>
    <n v="117406"/>
    <x v="9"/>
    <n v="9"/>
    <x v="6"/>
    <s v="2013"/>
    <n v="0.01"/>
  </r>
  <r>
    <x v="3"/>
    <x v="4"/>
    <x v="1"/>
    <x v="1"/>
    <n v="663"/>
    <n v="5"/>
    <n v="125"/>
    <n v="82875"/>
    <n v="828.75"/>
    <n v="82046.25"/>
    <n v="79560"/>
    <n v="2486.25"/>
    <x v="7"/>
    <n v="10"/>
    <x v="7"/>
    <s v="2013"/>
    <n v="0.01"/>
  </r>
  <r>
    <x v="1"/>
    <x v="4"/>
    <x v="2"/>
    <x v="1"/>
    <n v="1514"/>
    <n v="10"/>
    <n v="15"/>
    <n v="22710"/>
    <n v="227.1"/>
    <n v="22482.9"/>
    <n v="15140"/>
    <n v="7342.9000000000015"/>
    <x v="8"/>
    <n v="2"/>
    <x v="8"/>
    <s v="2014"/>
    <n v="0.01"/>
  </r>
  <r>
    <x v="0"/>
    <x v="4"/>
    <x v="2"/>
    <x v="1"/>
    <n v="4492.5"/>
    <n v="10"/>
    <n v="7"/>
    <n v="31447.5"/>
    <n v="314.47500000000002"/>
    <n v="31133.024999999998"/>
    <n v="22462.5"/>
    <n v="8670.5249999999978"/>
    <x v="13"/>
    <n v="4"/>
    <x v="10"/>
    <s v="2014"/>
    <n v="0.01"/>
  </r>
  <r>
    <x v="3"/>
    <x v="4"/>
    <x v="2"/>
    <x v="1"/>
    <n v="727"/>
    <n v="10"/>
    <n v="125"/>
    <n v="90875"/>
    <n v="908.75"/>
    <n v="89966.25"/>
    <n v="87240"/>
    <n v="2726.25"/>
    <x v="1"/>
    <n v="6"/>
    <x v="1"/>
    <s v="2014"/>
    <n v="0.01"/>
  </r>
  <r>
    <x v="3"/>
    <x v="2"/>
    <x v="2"/>
    <x v="1"/>
    <n v="787"/>
    <n v="10"/>
    <n v="125"/>
    <n v="98375"/>
    <n v="983.75"/>
    <n v="97391.25"/>
    <n v="94440"/>
    <n v="2951.25"/>
    <x v="1"/>
    <n v="6"/>
    <x v="1"/>
    <s v="2014"/>
    <n v="0.01"/>
  </r>
  <r>
    <x v="3"/>
    <x v="3"/>
    <x v="2"/>
    <x v="1"/>
    <n v="1823"/>
    <n v="10"/>
    <n v="125"/>
    <n v="227875"/>
    <n v="2278.75"/>
    <n v="225596.25"/>
    <n v="218760"/>
    <n v="6836.25"/>
    <x v="4"/>
    <n v="7"/>
    <x v="4"/>
    <s v="2014"/>
    <n v="0.01"/>
  </r>
  <r>
    <x v="1"/>
    <x v="1"/>
    <x v="2"/>
    <x v="1"/>
    <n v="747"/>
    <n v="10"/>
    <n v="15"/>
    <n v="11205"/>
    <n v="112.05"/>
    <n v="11092.95"/>
    <n v="7470"/>
    <n v="3622.9500000000007"/>
    <x v="6"/>
    <n v="9"/>
    <x v="6"/>
    <s v="2014"/>
    <n v="0.01"/>
  </r>
  <r>
    <x v="2"/>
    <x v="1"/>
    <x v="2"/>
    <x v="1"/>
    <n v="766"/>
    <n v="10"/>
    <n v="12"/>
    <n v="9192"/>
    <n v="91.92"/>
    <n v="9100.08"/>
    <n v="2298"/>
    <n v="6802.08"/>
    <x v="7"/>
    <n v="10"/>
    <x v="7"/>
    <s v="2013"/>
    <n v="0.01"/>
  </r>
  <r>
    <x v="4"/>
    <x v="4"/>
    <x v="2"/>
    <x v="1"/>
    <n v="2905"/>
    <n v="10"/>
    <n v="300"/>
    <n v="871500"/>
    <n v="8715"/>
    <n v="862785"/>
    <n v="726250"/>
    <n v="136535"/>
    <x v="15"/>
    <n v="11"/>
    <x v="9"/>
    <s v="2014"/>
    <n v="0.01"/>
  </r>
  <r>
    <x v="0"/>
    <x v="2"/>
    <x v="2"/>
    <x v="1"/>
    <n v="2155"/>
    <n v="10"/>
    <n v="350"/>
    <n v="754250"/>
    <n v="7542.5"/>
    <n v="746707.5"/>
    <n v="560300"/>
    <n v="186407.5"/>
    <x v="2"/>
    <n v="12"/>
    <x v="2"/>
    <s v="2014"/>
    <n v="0.01"/>
  </r>
  <r>
    <x v="0"/>
    <x v="2"/>
    <x v="3"/>
    <x v="1"/>
    <n v="3864"/>
    <n v="120"/>
    <n v="20"/>
    <n v="77280"/>
    <n v="772.80000000000007"/>
    <n v="76507.200000000012"/>
    <n v="38640"/>
    <n v="37867.200000000004"/>
    <x v="13"/>
    <n v="4"/>
    <x v="10"/>
    <s v="2014"/>
    <n v="0.01"/>
  </r>
  <r>
    <x v="0"/>
    <x v="3"/>
    <x v="3"/>
    <x v="1"/>
    <n v="362"/>
    <n v="120"/>
    <n v="7"/>
    <n v="2534"/>
    <n v="25.34"/>
    <n v="2508.66"/>
    <n v="1810"/>
    <n v="698.65999999999985"/>
    <x v="14"/>
    <n v="5"/>
    <x v="11"/>
    <s v="2014"/>
    <n v="0.01"/>
  </r>
  <r>
    <x v="3"/>
    <x v="0"/>
    <x v="3"/>
    <x v="1"/>
    <n v="923"/>
    <n v="120"/>
    <n v="125"/>
    <n v="115375"/>
    <n v="1153.75"/>
    <n v="114221.25"/>
    <n v="110760"/>
    <n v="3461.25"/>
    <x v="5"/>
    <n v="8"/>
    <x v="5"/>
    <s v="2014"/>
    <n v="0.01"/>
  </r>
  <r>
    <x v="3"/>
    <x v="4"/>
    <x v="3"/>
    <x v="1"/>
    <n v="663"/>
    <n v="120"/>
    <n v="125"/>
    <n v="82875"/>
    <n v="828.75"/>
    <n v="82046.25"/>
    <n v="79560"/>
    <n v="2486.25"/>
    <x v="7"/>
    <n v="10"/>
    <x v="7"/>
    <s v="2013"/>
    <n v="0.01"/>
  </r>
  <r>
    <x v="0"/>
    <x v="0"/>
    <x v="3"/>
    <x v="1"/>
    <n v="2092"/>
    <n v="120"/>
    <n v="7"/>
    <n v="14644"/>
    <n v="146.44"/>
    <n v="14497.56"/>
    <n v="10460"/>
    <n v="4037.5599999999995"/>
    <x v="11"/>
    <n v="11"/>
    <x v="9"/>
    <s v="2013"/>
    <n v="0.01"/>
  </r>
  <r>
    <x v="0"/>
    <x v="1"/>
    <x v="4"/>
    <x v="1"/>
    <n v="263"/>
    <n v="250"/>
    <n v="7"/>
    <n v="1841"/>
    <n v="18.41"/>
    <n v="1822.59"/>
    <n v="1315"/>
    <n v="507.58999999999992"/>
    <x v="3"/>
    <n v="3"/>
    <x v="3"/>
    <s v="2014"/>
    <n v="0.01"/>
  </r>
  <r>
    <x v="0"/>
    <x v="0"/>
    <x v="4"/>
    <x v="1"/>
    <n v="943.5"/>
    <n v="250"/>
    <n v="350"/>
    <n v="330225"/>
    <n v="3302.25"/>
    <n v="326922.75"/>
    <n v="245310"/>
    <n v="81612.75"/>
    <x v="13"/>
    <n v="4"/>
    <x v="10"/>
    <s v="2014"/>
    <n v="0.01"/>
  </r>
  <r>
    <x v="3"/>
    <x v="4"/>
    <x v="4"/>
    <x v="1"/>
    <n v="727"/>
    <n v="250"/>
    <n v="125"/>
    <n v="90875"/>
    <n v="908.75"/>
    <n v="89966.25"/>
    <n v="87240"/>
    <n v="2726.25"/>
    <x v="1"/>
    <n v="6"/>
    <x v="1"/>
    <s v="2014"/>
    <n v="0.01"/>
  </r>
  <r>
    <x v="3"/>
    <x v="2"/>
    <x v="4"/>
    <x v="1"/>
    <n v="787"/>
    <n v="250"/>
    <n v="125"/>
    <n v="98375"/>
    <n v="983.75"/>
    <n v="97391.25"/>
    <n v="94440"/>
    <n v="2951.25"/>
    <x v="1"/>
    <n v="6"/>
    <x v="1"/>
    <s v="2014"/>
    <n v="0.01"/>
  </r>
  <r>
    <x v="4"/>
    <x v="1"/>
    <x v="4"/>
    <x v="1"/>
    <n v="986"/>
    <n v="250"/>
    <n v="300"/>
    <n v="295800"/>
    <n v="2958"/>
    <n v="292842"/>
    <n v="246500"/>
    <n v="46342"/>
    <x v="6"/>
    <n v="9"/>
    <x v="6"/>
    <s v="2014"/>
    <n v="0.01"/>
  </r>
  <r>
    <x v="4"/>
    <x v="3"/>
    <x v="4"/>
    <x v="1"/>
    <n v="494"/>
    <n v="250"/>
    <n v="300"/>
    <n v="148200"/>
    <n v="1482"/>
    <n v="146718"/>
    <n v="123500"/>
    <n v="23218"/>
    <x v="7"/>
    <n v="10"/>
    <x v="7"/>
    <s v="2013"/>
    <n v="0.01"/>
  </r>
  <r>
    <x v="0"/>
    <x v="3"/>
    <x v="4"/>
    <x v="1"/>
    <n v="1397"/>
    <n v="250"/>
    <n v="350"/>
    <n v="488950"/>
    <n v="4889.5"/>
    <n v="484060.5"/>
    <n v="363220"/>
    <n v="120840.5"/>
    <x v="10"/>
    <n v="10"/>
    <x v="7"/>
    <s v="2014"/>
    <n v="0.01"/>
  </r>
  <r>
    <x v="3"/>
    <x v="2"/>
    <x v="4"/>
    <x v="1"/>
    <n v="1744"/>
    <n v="250"/>
    <n v="125"/>
    <n v="218000"/>
    <n v="2180"/>
    <n v="215820"/>
    <n v="209280"/>
    <n v="6540"/>
    <x v="15"/>
    <n v="11"/>
    <x v="9"/>
    <s v="2014"/>
    <n v="0.01"/>
  </r>
  <r>
    <x v="2"/>
    <x v="4"/>
    <x v="5"/>
    <x v="1"/>
    <n v="1989"/>
    <n v="260"/>
    <n v="12"/>
    <n v="23868"/>
    <n v="238.68"/>
    <n v="23629.32"/>
    <n v="5967"/>
    <n v="17662.32"/>
    <x v="9"/>
    <n v="9"/>
    <x v="6"/>
    <s v="2013"/>
    <n v="0.01"/>
  </r>
  <r>
    <x v="1"/>
    <x v="2"/>
    <x v="5"/>
    <x v="1"/>
    <n v="321"/>
    <n v="260"/>
    <n v="15"/>
    <n v="4815"/>
    <n v="48.15"/>
    <n v="4766.8500000000004"/>
    <n v="3210"/>
    <n v="1556.8500000000004"/>
    <x v="11"/>
    <n v="11"/>
    <x v="9"/>
    <s v="2013"/>
    <n v="0.01"/>
  </r>
  <r>
    <x v="3"/>
    <x v="0"/>
    <x v="0"/>
    <x v="1"/>
    <n v="742.5"/>
    <n v="3"/>
    <n v="125"/>
    <n v="92812.5"/>
    <n v="1856.25"/>
    <n v="90956.25"/>
    <n v="89100"/>
    <n v="1856.25"/>
    <x v="13"/>
    <n v="4"/>
    <x v="10"/>
    <s v="2014"/>
    <n v="0.02"/>
  </r>
  <r>
    <x v="2"/>
    <x v="0"/>
    <x v="0"/>
    <x v="1"/>
    <n v="1295"/>
    <n v="3"/>
    <n v="12"/>
    <n v="15540"/>
    <n v="310.8"/>
    <n v="15229.2"/>
    <n v="3885"/>
    <n v="11344.2"/>
    <x v="10"/>
    <n v="10"/>
    <x v="7"/>
    <s v="2014"/>
    <n v="0.02"/>
  </r>
  <r>
    <x v="4"/>
    <x v="1"/>
    <x v="0"/>
    <x v="1"/>
    <n v="214"/>
    <n v="3"/>
    <n v="300"/>
    <n v="64200"/>
    <n v="1284"/>
    <n v="62916"/>
    <n v="53500"/>
    <n v="9416"/>
    <x v="7"/>
    <n v="10"/>
    <x v="7"/>
    <s v="2013"/>
    <n v="0.02"/>
  </r>
  <r>
    <x v="0"/>
    <x v="2"/>
    <x v="0"/>
    <x v="1"/>
    <n v="2145"/>
    <n v="3"/>
    <n v="7"/>
    <n v="15015"/>
    <n v="300.3"/>
    <n v="14714.7"/>
    <n v="10725"/>
    <n v="3989.7000000000007"/>
    <x v="11"/>
    <n v="11"/>
    <x v="9"/>
    <s v="2013"/>
    <n v="0.02"/>
  </r>
  <r>
    <x v="0"/>
    <x v="0"/>
    <x v="0"/>
    <x v="1"/>
    <n v="2852"/>
    <n v="3"/>
    <n v="350"/>
    <n v="998200"/>
    <n v="19964"/>
    <n v="978236"/>
    <n v="741520"/>
    <n v="236716"/>
    <x v="2"/>
    <n v="12"/>
    <x v="2"/>
    <s v="2014"/>
    <n v="0.02"/>
  </r>
  <r>
    <x v="2"/>
    <x v="4"/>
    <x v="1"/>
    <x v="1"/>
    <n v="1142"/>
    <n v="5"/>
    <n v="12"/>
    <n v="13704"/>
    <n v="274.08"/>
    <n v="13429.92"/>
    <n v="3426"/>
    <n v="10003.92"/>
    <x v="1"/>
    <n v="6"/>
    <x v="1"/>
    <s v="2014"/>
    <n v="0.02"/>
  </r>
  <r>
    <x v="0"/>
    <x v="4"/>
    <x v="1"/>
    <x v="1"/>
    <n v="1566"/>
    <n v="5"/>
    <n v="20"/>
    <n v="31320"/>
    <n v="626.4"/>
    <n v="30693.599999999999"/>
    <n v="15660"/>
    <n v="15033.599999999999"/>
    <x v="10"/>
    <n v="10"/>
    <x v="7"/>
    <s v="2014"/>
    <n v="0.02"/>
  </r>
  <r>
    <x v="2"/>
    <x v="3"/>
    <x v="1"/>
    <x v="1"/>
    <n v="690"/>
    <n v="5"/>
    <n v="12"/>
    <n v="8280"/>
    <n v="165.6"/>
    <n v="8114.4"/>
    <n v="2070"/>
    <n v="6044.4"/>
    <x v="15"/>
    <n v="11"/>
    <x v="9"/>
    <s v="2014"/>
    <n v="0.02"/>
  </r>
  <r>
    <x v="3"/>
    <x v="3"/>
    <x v="1"/>
    <x v="1"/>
    <n v="1660"/>
    <n v="5"/>
    <n v="125"/>
    <n v="207500"/>
    <n v="4150"/>
    <n v="203350"/>
    <n v="199200"/>
    <n v="4150"/>
    <x v="11"/>
    <n v="11"/>
    <x v="9"/>
    <s v="2013"/>
    <n v="0.02"/>
  </r>
  <r>
    <x v="1"/>
    <x v="0"/>
    <x v="2"/>
    <x v="1"/>
    <n v="2363"/>
    <n v="10"/>
    <n v="15"/>
    <n v="35445"/>
    <n v="708.9"/>
    <n v="34736.1"/>
    <n v="23630"/>
    <n v="11106.099999999999"/>
    <x v="8"/>
    <n v="2"/>
    <x v="8"/>
    <s v="2014"/>
    <n v="0.02"/>
  </r>
  <r>
    <x v="4"/>
    <x v="2"/>
    <x v="2"/>
    <x v="1"/>
    <n v="918"/>
    <n v="10"/>
    <n v="300"/>
    <n v="275400"/>
    <n v="5508"/>
    <n v="269892"/>
    <n v="229500"/>
    <n v="40392"/>
    <x v="14"/>
    <n v="5"/>
    <x v="11"/>
    <s v="2014"/>
    <n v="0.02"/>
  </r>
  <r>
    <x v="4"/>
    <x v="1"/>
    <x v="2"/>
    <x v="1"/>
    <n v="1728"/>
    <n v="10"/>
    <n v="300"/>
    <n v="518400"/>
    <n v="10368"/>
    <n v="508032"/>
    <n v="432000"/>
    <n v="76032"/>
    <x v="14"/>
    <n v="5"/>
    <x v="11"/>
    <s v="2014"/>
    <n v="0.02"/>
  </r>
  <r>
    <x v="2"/>
    <x v="4"/>
    <x v="2"/>
    <x v="1"/>
    <n v="1142"/>
    <n v="10"/>
    <n v="12"/>
    <n v="13704"/>
    <n v="274.08"/>
    <n v="13429.92"/>
    <n v="3426"/>
    <n v="10003.92"/>
    <x v="1"/>
    <n v="6"/>
    <x v="1"/>
    <s v="2014"/>
    <n v="0.02"/>
  </r>
  <r>
    <x v="3"/>
    <x v="3"/>
    <x v="2"/>
    <x v="1"/>
    <n v="662"/>
    <n v="10"/>
    <n v="125"/>
    <n v="82750"/>
    <n v="1655"/>
    <n v="81095"/>
    <n v="79440"/>
    <n v="1655"/>
    <x v="1"/>
    <n v="6"/>
    <x v="1"/>
    <s v="2014"/>
    <n v="0.02"/>
  </r>
  <r>
    <x v="2"/>
    <x v="0"/>
    <x v="2"/>
    <x v="1"/>
    <n v="1295"/>
    <n v="10"/>
    <n v="12"/>
    <n v="15540"/>
    <n v="310.8"/>
    <n v="15229.2"/>
    <n v="3885"/>
    <n v="11344.2"/>
    <x v="10"/>
    <n v="10"/>
    <x v="7"/>
    <s v="2014"/>
    <n v="0.02"/>
  </r>
  <r>
    <x v="3"/>
    <x v="1"/>
    <x v="2"/>
    <x v="1"/>
    <n v="809"/>
    <n v="10"/>
    <n v="125"/>
    <n v="101125"/>
    <n v="2022.5"/>
    <n v="99102.5"/>
    <n v="97080"/>
    <n v="2022.5"/>
    <x v="7"/>
    <n v="10"/>
    <x v="7"/>
    <s v="2013"/>
    <n v="0.02"/>
  </r>
  <r>
    <x v="3"/>
    <x v="3"/>
    <x v="2"/>
    <x v="1"/>
    <n v="2145"/>
    <n v="10"/>
    <n v="125"/>
    <n v="268125"/>
    <n v="5362.5"/>
    <n v="262762.5"/>
    <n v="257400"/>
    <n v="5362.5"/>
    <x v="7"/>
    <n v="10"/>
    <x v="7"/>
    <s v="2013"/>
    <n v="0.02"/>
  </r>
  <r>
    <x v="2"/>
    <x v="2"/>
    <x v="2"/>
    <x v="1"/>
    <n v="1785"/>
    <n v="10"/>
    <n v="12"/>
    <n v="21420"/>
    <n v="428.4"/>
    <n v="20991.599999999999"/>
    <n v="5355"/>
    <n v="15636.599999999999"/>
    <x v="11"/>
    <n v="11"/>
    <x v="9"/>
    <s v="2013"/>
    <n v="0.02"/>
  </r>
  <r>
    <x v="4"/>
    <x v="0"/>
    <x v="2"/>
    <x v="1"/>
    <n v="1916"/>
    <n v="10"/>
    <n v="300"/>
    <n v="574800"/>
    <n v="11496"/>
    <n v="563304"/>
    <n v="479000"/>
    <n v="84304"/>
    <x v="2"/>
    <n v="12"/>
    <x v="2"/>
    <s v="2014"/>
    <n v="0.02"/>
  </r>
  <r>
    <x v="0"/>
    <x v="0"/>
    <x v="2"/>
    <x v="1"/>
    <n v="2852"/>
    <n v="10"/>
    <n v="350"/>
    <n v="998200"/>
    <n v="19964"/>
    <n v="978236"/>
    <n v="741520"/>
    <n v="236716"/>
    <x v="2"/>
    <n v="12"/>
    <x v="2"/>
    <s v="2014"/>
    <n v="0.02"/>
  </r>
  <r>
    <x v="3"/>
    <x v="0"/>
    <x v="2"/>
    <x v="1"/>
    <n v="2729"/>
    <n v="10"/>
    <n v="125"/>
    <n v="341125"/>
    <n v="6822.5"/>
    <n v="334302.5"/>
    <n v="327480"/>
    <n v="6822.5"/>
    <x v="2"/>
    <n v="12"/>
    <x v="2"/>
    <s v="2014"/>
    <n v="0.02"/>
  </r>
  <r>
    <x v="1"/>
    <x v="4"/>
    <x v="2"/>
    <x v="1"/>
    <n v="1925"/>
    <n v="10"/>
    <n v="15"/>
    <n v="28875"/>
    <n v="577.5"/>
    <n v="28297.5"/>
    <n v="19250"/>
    <n v="9047.5"/>
    <x v="12"/>
    <n v="12"/>
    <x v="2"/>
    <s v="2013"/>
    <n v="0.02"/>
  </r>
  <r>
    <x v="0"/>
    <x v="4"/>
    <x v="2"/>
    <x v="1"/>
    <n v="2013"/>
    <n v="10"/>
    <n v="7"/>
    <n v="14091"/>
    <n v="281.82"/>
    <n v="13809.18"/>
    <n v="10065"/>
    <n v="3744.1800000000003"/>
    <x v="12"/>
    <n v="12"/>
    <x v="2"/>
    <s v="2013"/>
    <n v="0.02"/>
  </r>
  <r>
    <x v="2"/>
    <x v="2"/>
    <x v="2"/>
    <x v="1"/>
    <n v="1055"/>
    <n v="10"/>
    <n v="12"/>
    <n v="12660"/>
    <n v="253.2"/>
    <n v="12406.8"/>
    <n v="3165"/>
    <n v="9241.7999999999993"/>
    <x v="2"/>
    <n v="12"/>
    <x v="2"/>
    <s v="2014"/>
    <n v="0.02"/>
  </r>
  <r>
    <x v="2"/>
    <x v="3"/>
    <x v="2"/>
    <x v="1"/>
    <n v="1084"/>
    <n v="10"/>
    <n v="12"/>
    <n v="13008"/>
    <n v="260.16000000000003"/>
    <n v="12747.84"/>
    <n v="3252"/>
    <n v="9495.84"/>
    <x v="2"/>
    <n v="12"/>
    <x v="2"/>
    <s v="2014"/>
    <n v="0.02"/>
  </r>
  <r>
    <x v="0"/>
    <x v="4"/>
    <x v="3"/>
    <x v="1"/>
    <n v="1566"/>
    <n v="120"/>
    <n v="20"/>
    <n v="31320"/>
    <n v="626.4"/>
    <n v="30693.599999999999"/>
    <n v="15660"/>
    <n v="15033.599999999999"/>
    <x v="10"/>
    <n v="10"/>
    <x v="7"/>
    <s v="2014"/>
    <n v="0.02"/>
  </r>
  <r>
    <x v="0"/>
    <x v="1"/>
    <x v="3"/>
    <x v="1"/>
    <n v="2966"/>
    <n v="120"/>
    <n v="350"/>
    <n v="1038100"/>
    <n v="20762"/>
    <n v="1017338"/>
    <n v="771160"/>
    <n v="246178"/>
    <x v="7"/>
    <n v="10"/>
    <x v="7"/>
    <s v="2013"/>
    <n v="0.02"/>
  </r>
  <r>
    <x v="0"/>
    <x v="1"/>
    <x v="3"/>
    <x v="1"/>
    <n v="2877"/>
    <n v="120"/>
    <n v="350"/>
    <n v="1006950"/>
    <n v="20139"/>
    <n v="986811"/>
    <n v="748020"/>
    <n v="238791"/>
    <x v="10"/>
    <n v="10"/>
    <x v="7"/>
    <s v="2014"/>
    <n v="0.02"/>
  </r>
  <r>
    <x v="3"/>
    <x v="1"/>
    <x v="3"/>
    <x v="1"/>
    <n v="809"/>
    <n v="120"/>
    <n v="125"/>
    <n v="101125"/>
    <n v="2022.5"/>
    <n v="99102.5"/>
    <n v="97080"/>
    <n v="2022.5"/>
    <x v="7"/>
    <n v="10"/>
    <x v="7"/>
    <s v="2013"/>
    <n v="0.02"/>
  </r>
  <r>
    <x v="3"/>
    <x v="3"/>
    <x v="3"/>
    <x v="1"/>
    <n v="2145"/>
    <n v="120"/>
    <n v="125"/>
    <n v="268125"/>
    <n v="5362.5"/>
    <n v="262762.5"/>
    <n v="257400"/>
    <n v="5362.5"/>
    <x v="7"/>
    <n v="10"/>
    <x v="7"/>
    <s v="2013"/>
    <n v="0.02"/>
  </r>
  <r>
    <x v="2"/>
    <x v="2"/>
    <x v="3"/>
    <x v="1"/>
    <n v="1055"/>
    <n v="120"/>
    <n v="12"/>
    <n v="12660"/>
    <n v="253.2"/>
    <n v="12406.8"/>
    <n v="3165"/>
    <n v="9241.7999999999993"/>
    <x v="2"/>
    <n v="12"/>
    <x v="2"/>
    <s v="2014"/>
    <n v="0.02"/>
  </r>
  <r>
    <x v="0"/>
    <x v="3"/>
    <x v="3"/>
    <x v="1"/>
    <n v="544"/>
    <n v="120"/>
    <n v="20"/>
    <n v="10880"/>
    <n v="217.6"/>
    <n v="10662.4"/>
    <n v="5440"/>
    <n v="5222.3999999999996"/>
    <x v="12"/>
    <n v="12"/>
    <x v="2"/>
    <s v="2013"/>
    <n v="0.02"/>
  </r>
  <r>
    <x v="2"/>
    <x v="3"/>
    <x v="3"/>
    <x v="1"/>
    <n v="1084"/>
    <n v="120"/>
    <n v="12"/>
    <n v="13008"/>
    <n v="260.16000000000003"/>
    <n v="12747.84"/>
    <n v="3252"/>
    <n v="9495.84"/>
    <x v="2"/>
    <n v="12"/>
    <x v="2"/>
    <s v="2014"/>
    <n v="0.02"/>
  </r>
  <r>
    <x v="3"/>
    <x v="3"/>
    <x v="4"/>
    <x v="1"/>
    <n v="662"/>
    <n v="250"/>
    <n v="125"/>
    <n v="82750"/>
    <n v="1655"/>
    <n v="81095"/>
    <n v="79440"/>
    <n v="1655"/>
    <x v="1"/>
    <n v="6"/>
    <x v="1"/>
    <s v="2014"/>
    <n v="0.02"/>
  </r>
  <r>
    <x v="4"/>
    <x v="1"/>
    <x v="4"/>
    <x v="1"/>
    <n v="214"/>
    <n v="250"/>
    <n v="300"/>
    <n v="64200"/>
    <n v="1284"/>
    <n v="62916"/>
    <n v="53500"/>
    <n v="9416"/>
    <x v="7"/>
    <n v="10"/>
    <x v="7"/>
    <s v="2013"/>
    <n v="0.02"/>
  </r>
  <r>
    <x v="0"/>
    <x v="1"/>
    <x v="4"/>
    <x v="1"/>
    <n v="2877"/>
    <n v="250"/>
    <n v="350"/>
    <n v="1006950"/>
    <n v="20139"/>
    <n v="986811"/>
    <n v="748020"/>
    <n v="238791"/>
    <x v="10"/>
    <n v="10"/>
    <x v="7"/>
    <s v="2014"/>
    <n v="0.02"/>
  </r>
  <r>
    <x v="3"/>
    <x v="0"/>
    <x v="4"/>
    <x v="1"/>
    <n v="2729"/>
    <n v="250"/>
    <n v="125"/>
    <n v="341125"/>
    <n v="6822.5"/>
    <n v="334302.5"/>
    <n v="327480"/>
    <n v="6822.5"/>
    <x v="2"/>
    <n v="12"/>
    <x v="2"/>
    <s v="2014"/>
    <n v="0.02"/>
  </r>
  <r>
    <x v="0"/>
    <x v="4"/>
    <x v="4"/>
    <x v="1"/>
    <n v="266"/>
    <n v="250"/>
    <n v="350"/>
    <n v="93100"/>
    <n v="1862"/>
    <n v="91238"/>
    <n v="69160"/>
    <n v="22078"/>
    <x v="12"/>
    <n v="12"/>
    <x v="2"/>
    <s v="2013"/>
    <n v="0.02"/>
  </r>
  <r>
    <x v="0"/>
    <x v="3"/>
    <x v="4"/>
    <x v="1"/>
    <n v="1940"/>
    <n v="250"/>
    <n v="350"/>
    <n v="679000"/>
    <n v="13580"/>
    <n v="665420"/>
    <n v="504400"/>
    <n v="161020"/>
    <x v="12"/>
    <n v="12"/>
    <x v="2"/>
    <s v="2013"/>
    <n v="0.02"/>
  </r>
  <r>
    <x v="4"/>
    <x v="1"/>
    <x v="5"/>
    <x v="1"/>
    <n v="259"/>
    <n v="260"/>
    <n v="300"/>
    <n v="77700"/>
    <n v="1554"/>
    <n v="76146"/>
    <n v="64750"/>
    <n v="11396"/>
    <x v="3"/>
    <n v="3"/>
    <x v="3"/>
    <s v="2014"/>
    <n v="0.02"/>
  </r>
  <r>
    <x v="4"/>
    <x v="3"/>
    <x v="5"/>
    <x v="1"/>
    <n v="1101"/>
    <n v="260"/>
    <n v="300"/>
    <n v="330300"/>
    <n v="6606"/>
    <n v="323694"/>
    <n v="275250"/>
    <n v="48444"/>
    <x v="3"/>
    <n v="3"/>
    <x v="3"/>
    <s v="2014"/>
    <n v="0.02"/>
  </r>
  <r>
    <x v="3"/>
    <x v="1"/>
    <x v="5"/>
    <x v="1"/>
    <n v="2276"/>
    <n v="260"/>
    <n v="125"/>
    <n v="284500"/>
    <n v="5690"/>
    <n v="278810"/>
    <n v="273120"/>
    <n v="5690"/>
    <x v="14"/>
    <n v="5"/>
    <x v="11"/>
    <s v="2014"/>
    <n v="0.02"/>
  </r>
  <r>
    <x v="0"/>
    <x v="1"/>
    <x v="5"/>
    <x v="1"/>
    <n v="2966"/>
    <n v="260"/>
    <n v="350"/>
    <n v="1038100"/>
    <n v="20762"/>
    <n v="1017338"/>
    <n v="771160"/>
    <n v="246178"/>
    <x v="7"/>
    <n v="10"/>
    <x v="7"/>
    <s v="2013"/>
    <n v="0.02"/>
  </r>
  <r>
    <x v="0"/>
    <x v="4"/>
    <x v="5"/>
    <x v="1"/>
    <n v="1236"/>
    <n v="260"/>
    <n v="20"/>
    <n v="24720"/>
    <n v="494.4"/>
    <n v="24225.599999999999"/>
    <n v="12360"/>
    <n v="11865.599999999999"/>
    <x v="15"/>
    <n v="11"/>
    <x v="9"/>
    <s v="2014"/>
    <n v="0.02"/>
  </r>
  <r>
    <x v="0"/>
    <x v="2"/>
    <x v="5"/>
    <x v="1"/>
    <n v="941"/>
    <n v="260"/>
    <n v="20"/>
    <n v="18820"/>
    <n v="376.4"/>
    <n v="18443.599999999999"/>
    <n v="9410"/>
    <n v="9033.5999999999985"/>
    <x v="15"/>
    <n v="11"/>
    <x v="9"/>
    <s v="2014"/>
    <n v="0.02"/>
  </r>
  <r>
    <x v="4"/>
    <x v="0"/>
    <x v="5"/>
    <x v="1"/>
    <n v="1916"/>
    <n v="260"/>
    <n v="300"/>
    <n v="574800"/>
    <n v="11496"/>
    <n v="563304"/>
    <n v="479000"/>
    <n v="84304"/>
    <x v="2"/>
    <n v="12"/>
    <x v="2"/>
    <s v="2014"/>
    <n v="0.02"/>
  </r>
  <r>
    <x v="3"/>
    <x v="2"/>
    <x v="0"/>
    <x v="1"/>
    <n v="4243.5"/>
    <n v="3"/>
    <n v="125"/>
    <n v="530437.5"/>
    <n v="15913.125"/>
    <n v="514524.375"/>
    <n v="509220"/>
    <n v="5304.375"/>
    <x v="13"/>
    <n v="4"/>
    <x v="10"/>
    <s v="2014"/>
    <n v="0.03"/>
  </r>
  <r>
    <x v="0"/>
    <x v="1"/>
    <x v="0"/>
    <x v="1"/>
    <n v="2580"/>
    <n v="3"/>
    <n v="20"/>
    <n v="51600"/>
    <n v="1548"/>
    <n v="50052"/>
    <n v="25800"/>
    <n v="24252"/>
    <x v="13"/>
    <n v="4"/>
    <x v="10"/>
    <s v="2014"/>
    <n v="0.03"/>
  </r>
  <r>
    <x v="4"/>
    <x v="1"/>
    <x v="0"/>
    <x v="1"/>
    <n v="689"/>
    <n v="3"/>
    <n v="300"/>
    <n v="206700"/>
    <n v="6201"/>
    <n v="200499"/>
    <n v="172250"/>
    <n v="28249"/>
    <x v="1"/>
    <n v="6"/>
    <x v="1"/>
    <s v="2014"/>
    <n v="0.03"/>
  </r>
  <r>
    <x v="2"/>
    <x v="4"/>
    <x v="0"/>
    <x v="1"/>
    <n v="1947"/>
    <n v="3"/>
    <n v="12"/>
    <n v="23364"/>
    <n v="700.92"/>
    <n v="22663.08"/>
    <n v="5841"/>
    <n v="16822.080000000002"/>
    <x v="6"/>
    <n v="9"/>
    <x v="6"/>
    <s v="2014"/>
    <n v="0.03"/>
  </r>
  <r>
    <x v="2"/>
    <x v="0"/>
    <x v="0"/>
    <x v="1"/>
    <n v="908"/>
    <n v="3"/>
    <n v="12"/>
    <n v="10896"/>
    <n v="326.88"/>
    <n v="10569.12"/>
    <n v="2724"/>
    <n v="7845.1200000000008"/>
    <x v="12"/>
    <n v="12"/>
    <x v="2"/>
    <s v="2013"/>
    <n v="0.03"/>
  </r>
  <r>
    <x v="0"/>
    <x v="1"/>
    <x v="1"/>
    <x v="1"/>
    <n v="1958"/>
    <n v="5"/>
    <n v="7"/>
    <n v="13706"/>
    <n v="411.18"/>
    <n v="13294.82"/>
    <n v="9790"/>
    <n v="3504.8199999999997"/>
    <x v="8"/>
    <n v="2"/>
    <x v="8"/>
    <s v="2014"/>
    <n v="0.03"/>
  </r>
  <r>
    <x v="2"/>
    <x v="2"/>
    <x v="1"/>
    <x v="1"/>
    <n v="1901"/>
    <n v="5"/>
    <n v="12"/>
    <n v="22812"/>
    <n v="684.36"/>
    <n v="22127.64"/>
    <n v="5703"/>
    <n v="16424.64"/>
    <x v="1"/>
    <n v="6"/>
    <x v="1"/>
    <s v="2014"/>
    <n v="0.03"/>
  </r>
  <r>
    <x v="0"/>
    <x v="2"/>
    <x v="1"/>
    <x v="1"/>
    <n v="544"/>
    <n v="5"/>
    <n v="7"/>
    <n v="3808"/>
    <n v="114.24"/>
    <n v="3693.76"/>
    <n v="2720"/>
    <n v="973.76000000000022"/>
    <x v="6"/>
    <n v="9"/>
    <x v="6"/>
    <s v="2014"/>
    <n v="0.03"/>
  </r>
  <r>
    <x v="0"/>
    <x v="1"/>
    <x v="1"/>
    <x v="1"/>
    <n v="1797"/>
    <n v="5"/>
    <n v="350"/>
    <n v="628950"/>
    <n v="18868.5"/>
    <n v="610081.5"/>
    <n v="467220"/>
    <n v="142861.5"/>
    <x v="9"/>
    <n v="9"/>
    <x v="6"/>
    <s v="2013"/>
    <n v="0.03"/>
  </r>
  <r>
    <x v="3"/>
    <x v="2"/>
    <x v="1"/>
    <x v="1"/>
    <n v="1287"/>
    <n v="5"/>
    <n v="125"/>
    <n v="160875"/>
    <n v="4826.25"/>
    <n v="156048.75"/>
    <n v="154440"/>
    <n v="1608.75"/>
    <x v="2"/>
    <n v="12"/>
    <x v="2"/>
    <s v="2014"/>
    <n v="0.03"/>
  </r>
  <r>
    <x v="3"/>
    <x v="1"/>
    <x v="1"/>
    <x v="1"/>
    <n v="1706"/>
    <n v="5"/>
    <n v="125"/>
    <n v="213250"/>
    <n v="6397.5"/>
    <n v="206852.5"/>
    <n v="204720"/>
    <n v="2132.5"/>
    <x v="2"/>
    <n v="12"/>
    <x v="2"/>
    <s v="2014"/>
    <n v="0.03"/>
  </r>
  <r>
    <x v="4"/>
    <x v="2"/>
    <x v="2"/>
    <x v="1"/>
    <n v="2434.5"/>
    <n v="10"/>
    <n v="300"/>
    <n v="730350"/>
    <n v="21910.5"/>
    <n v="708439.5"/>
    <n v="608625"/>
    <n v="99814.5"/>
    <x v="0"/>
    <n v="1"/>
    <x v="0"/>
    <s v="2014"/>
    <n v="0.03"/>
  </r>
  <r>
    <x v="3"/>
    <x v="0"/>
    <x v="2"/>
    <x v="1"/>
    <n v="1774"/>
    <n v="10"/>
    <n v="125"/>
    <n v="221750"/>
    <n v="6652.5"/>
    <n v="215097.5"/>
    <n v="212880"/>
    <n v="2217.5"/>
    <x v="3"/>
    <n v="3"/>
    <x v="3"/>
    <s v="2014"/>
    <n v="0.03"/>
  </r>
  <r>
    <x v="2"/>
    <x v="2"/>
    <x v="2"/>
    <x v="1"/>
    <n v="1901"/>
    <n v="10"/>
    <n v="12"/>
    <n v="22812"/>
    <n v="684.36"/>
    <n v="22127.64"/>
    <n v="5703"/>
    <n v="16424.64"/>
    <x v="1"/>
    <n v="6"/>
    <x v="1"/>
    <s v="2014"/>
    <n v="0.03"/>
  </r>
  <r>
    <x v="4"/>
    <x v="1"/>
    <x v="2"/>
    <x v="1"/>
    <n v="689"/>
    <n v="10"/>
    <n v="300"/>
    <n v="206700"/>
    <n v="6201"/>
    <n v="200499"/>
    <n v="172250"/>
    <n v="28249"/>
    <x v="1"/>
    <n v="6"/>
    <x v="1"/>
    <s v="2014"/>
    <n v="0.03"/>
  </r>
  <r>
    <x v="3"/>
    <x v="1"/>
    <x v="2"/>
    <x v="1"/>
    <n v="1570"/>
    <n v="10"/>
    <n v="125"/>
    <n v="196250"/>
    <n v="5887.5"/>
    <n v="190362.5"/>
    <n v="188400"/>
    <n v="1962.5"/>
    <x v="1"/>
    <n v="6"/>
    <x v="1"/>
    <s v="2014"/>
    <n v="0.03"/>
  </r>
  <r>
    <x v="2"/>
    <x v="4"/>
    <x v="2"/>
    <x v="1"/>
    <n v="1369.5"/>
    <n v="10"/>
    <n v="12"/>
    <n v="16434"/>
    <n v="493.02"/>
    <n v="15940.98"/>
    <n v="4108.5"/>
    <n v="11832.48"/>
    <x v="4"/>
    <n v="7"/>
    <x v="4"/>
    <s v="2014"/>
    <n v="0.03"/>
  </r>
  <r>
    <x v="3"/>
    <x v="0"/>
    <x v="2"/>
    <x v="1"/>
    <n v="2009"/>
    <n v="10"/>
    <n v="125"/>
    <n v="251125"/>
    <n v="7533.75"/>
    <n v="243591.25"/>
    <n v="241080"/>
    <n v="2511.25"/>
    <x v="10"/>
    <n v="10"/>
    <x v="7"/>
    <s v="2014"/>
    <n v="0.03"/>
  </r>
  <r>
    <x v="1"/>
    <x v="1"/>
    <x v="2"/>
    <x v="1"/>
    <n v="1945"/>
    <n v="10"/>
    <n v="15"/>
    <n v="29175"/>
    <n v="875.25"/>
    <n v="28299.75"/>
    <n v="19450"/>
    <n v="8849.75"/>
    <x v="7"/>
    <n v="10"/>
    <x v="7"/>
    <s v="2013"/>
    <n v="0.03"/>
  </r>
  <r>
    <x v="3"/>
    <x v="2"/>
    <x v="2"/>
    <x v="1"/>
    <n v="1287"/>
    <n v="10"/>
    <n v="125"/>
    <n v="160875"/>
    <n v="4826.25"/>
    <n v="156048.75"/>
    <n v="154440"/>
    <n v="1608.75"/>
    <x v="2"/>
    <n v="12"/>
    <x v="2"/>
    <s v="2014"/>
    <n v="0.03"/>
  </r>
  <r>
    <x v="3"/>
    <x v="1"/>
    <x v="2"/>
    <x v="1"/>
    <n v="1706"/>
    <n v="10"/>
    <n v="125"/>
    <n v="213250"/>
    <n v="6397.5"/>
    <n v="206852.5"/>
    <n v="204720"/>
    <n v="2132.5"/>
    <x v="2"/>
    <n v="12"/>
    <x v="2"/>
    <s v="2014"/>
    <n v="0.03"/>
  </r>
  <r>
    <x v="3"/>
    <x v="0"/>
    <x v="3"/>
    <x v="1"/>
    <n v="2009"/>
    <n v="120"/>
    <n v="125"/>
    <n v="251125"/>
    <n v="7533.75"/>
    <n v="243591.25"/>
    <n v="241080"/>
    <n v="2511.25"/>
    <x v="10"/>
    <n v="10"/>
    <x v="7"/>
    <s v="2014"/>
    <n v="0.03"/>
  </r>
  <r>
    <x v="4"/>
    <x v="4"/>
    <x v="4"/>
    <x v="1"/>
    <n v="2844"/>
    <n v="250"/>
    <n v="300"/>
    <n v="853200"/>
    <n v="25596"/>
    <n v="827604"/>
    <n v="711000"/>
    <n v="116604"/>
    <x v="8"/>
    <n v="2"/>
    <x v="8"/>
    <s v="2014"/>
    <n v="0.03"/>
  </r>
  <r>
    <x v="2"/>
    <x v="3"/>
    <x v="4"/>
    <x v="1"/>
    <n v="1916"/>
    <n v="250"/>
    <n v="12"/>
    <n v="22992"/>
    <n v="689.76"/>
    <n v="22302.240000000002"/>
    <n v="5748"/>
    <n v="16554.240000000002"/>
    <x v="13"/>
    <n v="4"/>
    <x v="10"/>
    <s v="2014"/>
    <n v="0.03"/>
  </r>
  <r>
    <x v="3"/>
    <x v="1"/>
    <x v="4"/>
    <x v="1"/>
    <n v="1570"/>
    <n v="250"/>
    <n v="125"/>
    <n v="196250"/>
    <n v="5887.5"/>
    <n v="190362.5"/>
    <n v="188400"/>
    <n v="1962.5"/>
    <x v="1"/>
    <n v="6"/>
    <x v="1"/>
    <s v="2014"/>
    <n v="0.03"/>
  </r>
  <r>
    <x v="4"/>
    <x v="0"/>
    <x v="4"/>
    <x v="1"/>
    <n v="1874"/>
    <n v="250"/>
    <n v="300"/>
    <n v="562200"/>
    <n v="16866"/>
    <n v="545334"/>
    <n v="468500"/>
    <n v="76834"/>
    <x v="5"/>
    <n v="8"/>
    <x v="5"/>
    <s v="2014"/>
    <n v="0.03"/>
  </r>
  <r>
    <x v="0"/>
    <x v="3"/>
    <x v="4"/>
    <x v="1"/>
    <n v="1642"/>
    <n v="250"/>
    <n v="350"/>
    <n v="574700"/>
    <n v="17241"/>
    <n v="557459"/>
    <n v="426920"/>
    <n v="130539"/>
    <x v="5"/>
    <n v="8"/>
    <x v="5"/>
    <s v="2014"/>
    <n v="0.03"/>
  </r>
  <r>
    <x v="1"/>
    <x v="1"/>
    <x v="4"/>
    <x v="1"/>
    <n v="1945"/>
    <n v="250"/>
    <n v="15"/>
    <n v="29175"/>
    <n v="875.25"/>
    <n v="28299.75"/>
    <n v="19450"/>
    <n v="8849.75"/>
    <x v="7"/>
    <n v="10"/>
    <x v="7"/>
    <s v="2013"/>
    <n v="0.03"/>
  </r>
  <r>
    <x v="0"/>
    <x v="0"/>
    <x v="0"/>
    <x v="1"/>
    <n v="831"/>
    <n v="3"/>
    <n v="20"/>
    <n v="16620"/>
    <n v="498.6"/>
    <n v="16121.4"/>
    <n v="8310"/>
    <n v="7811.4"/>
    <x v="14"/>
    <n v="5"/>
    <x v="11"/>
    <s v="2014"/>
    <n v="3.0000000000000002E-2"/>
  </r>
  <r>
    <x v="0"/>
    <x v="3"/>
    <x v="2"/>
    <x v="1"/>
    <n v="1760"/>
    <n v="10"/>
    <n v="7"/>
    <n v="12320"/>
    <n v="369.6"/>
    <n v="11950.4"/>
    <n v="8800"/>
    <n v="3150.3999999999996"/>
    <x v="9"/>
    <n v="9"/>
    <x v="6"/>
    <s v="2013"/>
    <n v="3.0000000000000002E-2"/>
  </r>
  <r>
    <x v="0"/>
    <x v="0"/>
    <x v="3"/>
    <x v="1"/>
    <n v="3850.5"/>
    <n v="120"/>
    <n v="20"/>
    <n v="77010"/>
    <n v="2310.3000000000002"/>
    <n v="74699.700000000012"/>
    <n v="38505"/>
    <n v="36194.700000000004"/>
    <x v="13"/>
    <n v="4"/>
    <x v="10"/>
    <s v="2014"/>
    <n v="3.0000000000000002E-2"/>
  </r>
  <r>
    <x v="2"/>
    <x v="1"/>
    <x v="4"/>
    <x v="1"/>
    <n v="2479"/>
    <n v="250"/>
    <n v="12"/>
    <n v="29748"/>
    <n v="892.44"/>
    <n v="28855.56"/>
    <n v="7437"/>
    <n v="21418.560000000001"/>
    <x v="0"/>
    <n v="1"/>
    <x v="0"/>
    <s v="2014"/>
    <n v="3.0000000000000002E-2"/>
  </r>
  <r>
    <x v="1"/>
    <x v="3"/>
    <x v="1"/>
    <x v="1"/>
    <n v="2031"/>
    <n v="5"/>
    <n v="15"/>
    <n v="30465"/>
    <n v="1218.5999999999999"/>
    <n v="29246.400000000001"/>
    <n v="20310"/>
    <n v="8936.4000000000015"/>
    <x v="10"/>
    <n v="10"/>
    <x v="7"/>
    <s v="2014"/>
    <n v="3.9999999999999994E-2"/>
  </r>
  <r>
    <x v="1"/>
    <x v="3"/>
    <x v="2"/>
    <x v="1"/>
    <n v="2031"/>
    <n v="10"/>
    <n v="15"/>
    <n v="30465"/>
    <n v="1218.5999999999999"/>
    <n v="29246.400000000001"/>
    <n v="20310"/>
    <n v="8936.4000000000015"/>
    <x v="10"/>
    <n v="10"/>
    <x v="7"/>
    <s v="2014"/>
    <n v="3.9999999999999994E-2"/>
  </r>
  <r>
    <x v="1"/>
    <x v="2"/>
    <x v="2"/>
    <x v="1"/>
    <n v="2261"/>
    <n v="10"/>
    <n v="15"/>
    <n v="33915"/>
    <n v="1356.6"/>
    <n v="32558.400000000001"/>
    <n v="22610"/>
    <n v="9948.4000000000015"/>
    <x v="12"/>
    <n v="12"/>
    <x v="2"/>
    <s v="2013"/>
    <n v="3.9999999999999994E-2"/>
  </r>
  <r>
    <x v="0"/>
    <x v="4"/>
    <x v="3"/>
    <x v="1"/>
    <n v="736"/>
    <n v="120"/>
    <n v="20"/>
    <n v="14720"/>
    <n v="588.79999999999995"/>
    <n v="14131.2"/>
    <n v="7360"/>
    <n v="6771.2000000000007"/>
    <x v="9"/>
    <n v="9"/>
    <x v="6"/>
    <s v="2013"/>
    <n v="3.9999999999999994E-2"/>
  </r>
  <r>
    <x v="0"/>
    <x v="0"/>
    <x v="0"/>
    <x v="1"/>
    <n v="2851"/>
    <n v="3"/>
    <n v="7"/>
    <n v="19957"/>
    <n v="798.28"/>
    <n v="19158.72"/>
    <n v="14255"/>
    <n v="4903.7200000000012"/>
    <x v="7"/>
    <n v="10"/>
    <x v="7"/>
    <s v="2013"/>
    <n v="0.04"/>
  </r>
  <r>
    <x v="4"/>
    <x v="1"/>
    <x v="0"/>
    <x v="1"/>
    <n v="2021"/>
    <n v="3"/>
    <n v="300"/>
    <n v="606300"/>
    <n v="24252"/>
    <n v="582048"/>
    <n v="505250"/>
    <n v="76798"/>
    <x v="10"/>
    <n v="10"/>
    <x v="7"/>
    <s v="2014"/>
    <n v="0.04"/>
  </r>
  <r>
    <x v="0"/>
    <x v="4"/>
    <x v="0"/>
    <x v="1"/>
    <n v="274"/>
    <n v="3"/>
    <n v="350"/>
    <n v="95900"/>
    <n v="3836"/>
    <n v="92064"/>
    <n v="71240"/>
    <n v="20824"/>
    <x v="2"/>
    <n v="12"/>
    <x v="2"/>
    <s v="2014"/>
    <n v="0.04"/>
  </r>
  <r>
    <x v="1"/>
    <x v="0"/>
    <x v="1"/>
    <x v="1"/>
    <n v="1967"/>
    <n v="5"/>
    <n v="15"/>
    <n v="29505"/>
    <n v="1180.2"/>
    <n v="28324.799999999999"/>
    <n v="19670"/>
    <n v="8654.7999999999993"/>
    <x v="3"/>
    <n v="3"/>
    <x v="3"/>
    <s v="2014"/>
    <n v="0.04"/>
  </r>
  <r>
    <x v="4"/>
    <x v="1"/>
    <x v="1"/>
    <x v="1"/>
    <n v="1859"/>
    <n v="5"/>
    <n v="300"/>
    <n v="557700"/>
    <n v="22308"/>
    <n v="535392"/>
    <n v="464750"/>
    <n v="70642"/>
    <x v="5"/>
    <n v="8"/>
    <x v="5"/>
    <s v="2014"/>
    <n v="0.04"/>
  </r>
  <r>
    <x v="0"/>
    <x v="0"/>
    <x v="1"/>
    <x v="1"/>
    <n v="2851"/>
    <n v="5"/>
    <n v="7"/>
    <n v="19957"/>
    <n v="798.28"/>
    <n v="19158.72"/>
    <n v="14255"/>
    <n v="4903.7200000000012"/>
    <x v="7"/>
    <n v="10"/>
    <x v="7"/>
    <s v="2013"/>
    <n v="0.04"/>
  </r>
  <r>
    <x v="4"/>
    <x v="1"/>
    <x v="1"/>
    <x v="1"/>
    <n v="2021"/>
    <n v="5"/>
    <n v="300"/>
    <n v="606300"/>
    <n v="24252"/>
    <n v="582048"/>
    <n v="505250"/>
    <n v="76798"/>
    <x v="10"/>
    <n v="10"/>
    <x v="7"/>
    <s v="2014"/>
    <n v="0.04"/>
  </r>
  <r>
    <x v="3"/>
    <x v="3"/>
    <x v="1"/>
    <x v="1"/>
    <n v="1138"/>
    <n v="5"/>
    <n v="125"/>
    <n v="142250"/>
    <n v="5690"/>
    <n v="136560"/>
    <n v="136560"/>
    <n v="0"/>
    <x v="2"/>
    <n v="12"/>
    <x v="2"/>
    <s v="2014"/>
    <n v="0.04"/>
  </r>
  <r>
    <x v="0"/>
    <x v="0"/>
    <x v="2"/>
    <x v="1"/>
    <n v="4251"/>
    <n v="10"/>
    <n v="7"/>
    <n v="29757"/>
    <n v="1190.28"/>
    <n v="28566.720000000001"/>
    <n v="21255"/>
    <n v="7311.7199999999993"/>
    <x v="0"/>
    <n v="1"/>
    <x v="0"/>
    <s v="2014"/>
    <n v="0.04"/>
  </r>
  <r>
    <x v="3"/>
    <x v="1"/>
    <x v="2"/>
    <x v="1"/>
    <n v="795"/>
    <n v="10"/>
    <n v="125"/>
    <n v="99375"/>
    <n v="3975"/>
    <n v="95400"/>
    <n v="95400"/>
    <n v="0"/>
    <x v="3"/>
    <n v="3"/>
    <x v="3"/>
    <s v="2014"/>
    <n v="0.04"/>
  </r>
  <r>
    <x v="4"/>
    <x v="1"/>
    <x v="2"/>
    <x v="1"/>
    <n v="1414.5"/>
    <n v="10"/>
    <n v="300"/>
    <n v="424350"/>
    <n v="16974"/>
    <n v="407376"/>
    <n v="353625"/>
    <n v="53751"/>
    <x v="13"/>
    <n v="4"/>
    <x v="10"/>
    <s v="2014"/>
    <n v="0.04"/>
  </r>
  <r>
    <x v="4"/>
    <x v="4"/>
    <x v="2"/>
    <x v="1"/>
    <n v="2918"/>
    <n v="10"/>
    <n v="300"/>
    <n v="875400"/>
    <n v="35016"/>
    <n v="840384"/>
    <n v="729500"/>
    <n v="110884"/>
    <x v="14"/>
    <n v="5"/>
    <x v="11"/>
    <s v="2014"/>
    <n v="0.04"/>
  </r>
  <r>
    <x v="0"/>
    <x v="4"/>
    <x v="2"/>
    <x v="1"/>
    <n v="3450"/>
    <n v="10"/>
    <n v="350"/>
    <n v="1207500"/>
    <n v="48300"/>
    <n v="1159200"/>
    <n v="897000"/>
    <n v="262200"/>
    <x v="4"/>
    <n v="7"/>
    <x v="4"/>
    <s v="2014"/>
    <n v="0.04"/>
  </r>
  <r>
    <x v="3"/>
    <x v="2"/>
    <x v="2"/>
    <x v="1"/>
    <n v="2988"/>
    <n v="10"/>
    <n v="125"/>
    <n v="373500"/>
    <n v="14940"/>
    <n v="358560"/>
    <n v="358560"/>
    <n v="0"/>
    <x v="4"/>
    <n v="7"/>
    <x v="4"/>
    <s v="2014"/>
    <n v="0.04"/>
  </r>
  <r>
    <x v="1"/>
    <x v="0"/>
    <x v="2"/>
    <x v="1"/>
    <n v="218"/>
    <n v="10"/>
    <n v="15"/>
    <n v="3270"/>
    <n v="130.80000000000001"/>
    <n v="3139.2"/>
    <n v="2180"/>
    <n v="959.19999999999982"/>
    <x v="6"/>
    <n v="9"/>
    <x v="6"/>
    <s v="2014"/>
    <n v="0.04"/>
  </r>
  <r>
    <x v="0"/>
    <x v="0"/>
    <x v="2"/>
    <x v="1"/>
    <n v="2074"/>
    <n v="10"/>
    <n v="20"/>
    <n v="41480"/>
    <n v="1659.2"/>
    <n v="39820.800000000003"/>
    <n v="20740"/>
    <n v="19080.800000000003"/>
    <x v="6"/>
    <n v="9"/>
    <x v="6"/>
    <s v="2014"/>
    <n v="0.04"/>
  </r>
  <r>
    <x v="0"/>
    <x v="4"/>
    <x v="2"/>
    <x v="1"/>
    <n v="1056"/>
    <n v="10"/>
    <n v="20"/>
    <n v="21120"/>
    <n v="844.8"/>
    <n v="20275.2"/>
    <n v="10560"/>
    <n v="9715.2000000000007"/>
    <x v="6"/>
    <n v="9"/>
    <x v="6"/>
    <s v="2014"/>
    <n v="0.04"/>
  </r>
  <r>
    <x v="1"/>
    <x v="4"/>
    <x v="2"/>
    <x v="1"/>
    <n v="671"/>
    <n v="10"/>
    <n v="15"/>
    <n v="10065"/>
    <n v="402.6"/>
    <n v="9662.4"/>
    <n v="6710"/>
    <n v="2952.3999999999996"/>
    <x v="7"/>
    <n v="10"/>
    <x v="7"/>
    <s v="2013"/>
    <n v="0.04"/>
  </r>
  <r>
    <x v="1"/>
    <x v="3"/>
    <x v="2"/>
    <x v="1"/>
    <n v="1514"/>
    <n v="10"/>
    <n v="15"/>
    <n v="22710"/>
    <n v="908.4"/>
    <n v="21801.599999999999"/>
    <n v="15140"/>
    <n v="6661.5999999999985"/>
    <x v="7"/>
    <n v="10"/>
    <x v="7"/>
    <s v="2013"/>
    <n v="0.04"/>
  </r>
  <r>
    <x v="0"/>
    <x v="4"/>
    <x v="2"/>
    <x v="1"/>
    <n v="274"/>
    <n v="10"/>
    <n v="350"/>
    <n v="95900"/>
    <n v="3836"/>
    <n v="92064"/>
    <n v="71240"/>
    <n v="20824"/>
    <x v="2"/>
    <n v="12"/>
    <x v="2"/>
    <s v="2014"/>
    <n v="0.04"/>
  </r>
  <r>
    <x v="3"/>
    <x v="3"/>
    <x v="2"/>
    <x v="1"/>
    <n v="1138"/>
    <n v="10"/>
    <n v="125"/>
    <n v="142250"/>
    <n v="5690"/>
    <n v="136560"/>
    <n v="136560"/>
    <n v="0"/>
    <x v="2"/>
    <n v="12"/>
    <x v="2"/>
    <s v="2014"/>
    <n v="0.04"/>
  </r>
  <r>
    <x v="2"/>
    <x v="4"/>
    <x v="3"/>
    <x v="1"/>
    <n v="1465"/>
    <n v="120"/>
    <n v="12"/>
    <n v="17580"/>
    <n v="703.2"/>
    <n v="16876.8"/>
    <n v="4395"/>
    <n v="12481.8"/>
    <x v="3"/>
    <n v="3"/>
    <x v="3"/>
    <s v="2014"/>
    <n v="0.04"/>
  </r>
  <r>
    <x v="0"/>
    <x v="0"/>
    <x v="3"/>
    <x v="1"/>
    <n v="2646"/>
    <n v="120"/>
    <n v="20"/>
    <n v="52920"/>
    <n v="2116.8000000000002"/>
    <n v="50803.199999999997"/>
    <n v="26460"/>
    <n v="24343.199999999997"/>
    <x v="9"/>
    <n v="9"/>
    <x v="6"/>
    <s v="2013"/>
    <n v="0.04"/>
  </r>
  <r>
    <x v="0"/>
    <x v="2"/>
    <x v="3"/>
    <x v="1"/>
    <n v="2177"/>
    <n v="120"/>
    <n v="350"/>
    <n v="761950"/>
    <n v="30478"/>
    <n v="731472"/>
    <n v="566020"/>
    <n v="165452"/>
    <x v="10"/>
    <n v="10"/>
    <x v="7"/>
    <s v="2014"/>
    <n v="0.04"/>
  </r>
  <r>
    <x v="2"/>
    <x v="2"/>
    <x v="4"/>
    <x v="1"/>
    <n v="866"/>
    <n v="250"/>
    <n v="12"/>
    <n v="10392"/>
    <n v="415.68"/>
    <n v="9976.32"/>
    <n v="2598"/>
    <n v="7378.32"/>
    <x v="14"/>
    <n v="5"/>
    <x v="11"/>
    <s v="2014"/>
    <n v="0.04"/>
  </r>
  <r>
    <x v="0"/>
    <x v="4"/>
    <x v="4"/>
    <x v="1"/>
    <n v="349"/>
    <n v="250"/>
    <n v="350"/>
    <n v="122150"/>
    <n v="4886"/>
    <n v="117264"/>
    <n v="90740"/>
    <n v="26524"/>
    <x v="9"/>
    <n v="9"/>
    <x v="6"/>
    <s v="2013"/>
    <n v="0.04"/>
  </r>
  <r>
    <x v="0"/>
    <x v="2"/>
    <x v="4"/>
    <x v="1"/>
    <n v="2177"/>
    <n v="250"/>
    <n v="350"/>
    <n v="761950"/>
    <n v="30478"/>
    <n v="731472"/>
    <n v="566020"/>
    <n v="165452"/>
    <x v="10"/>
    <n v="10"/>
    <x v="7"/>
    <s v="2014"/>
    <n v="0.04"/>
  </r>
  <r>
    <x v="1"/>
    <x v="3"/>
    <x v="4"/>
    <x v="1"/>
    <n v="1514"/>
    <n v="250"/>
    <n v="15"/>
    <n v="22710"/>
    <n v="908.4"/>
    <n v="21801.599999999999"/>
    <n v="15140"/>
    <n v="6661.5999999999985"/>
    <x v="7"/>
    <n v="10"/>
    <x v="7"/>
    <s v="2013"/>
    <n v="0.04"/>
  </r>
  <r>
    <x v="0"/>
    <x v="3"/>
    <x v="5"/>
    <x v="1"/>
    <n v="1865"/>
    <n v="260"/>
    <n v="350"/>
    <n v="652750"/>
    <n v="26110"/>
    <n v="626640"/>
    <n v="484900"/>
    <n v="141740"/>
    <x v="8"/>
    <n v="2"/>
    <x v="8"/>
    <s v="2014"/>
    <n v="0.04"/>
  </r>
  <r>
    <x v="3"/>
    <x v="3"/>
    <x v="5"/>
    <x v="1"/>
    <n v="1074"/>
    <n v="260"/>
    <n v="125"/>
    <n v="134250"/>
    <n v="5370"/>
    <n v="128880"/>
    <n v="128880"/>
    <n v="0"/>
    <x v="13"/>
    <n v="4"/>
    <x v="10"/>
    <s v="2014"/>
    <n v="0.04"/>
  </r>
  <r>
    <x v="0"/>
    <x v="1"/>
    <x v="5"/>
    <x v="1"/>
    <n v="1907"/>
    <n v="260"/>
    <n v="350"/>
    <n v="667450"/>
    <n v="26698"/>
    <n v="640752"/>
    <n v="495820"/>
    <n v="144932"/>
    <x v="6"/>
    <n v="9"/>
    <x v="6"/>
    <s v="2014"/>
    <n v="0.04"/>
  </r>
  <r>
    <x v="1"/>
    <x v="4"/>
    <x v="5"/>
    <x v="1"/>
    <n v="671"/>
    <n v="260"/>
    <n v="15"/>
    <n v="10065"/>
    <n v="402.6"/>
    <n v="9662.4"/>
    <n v="6710"/>
    <n v="2952.3999999999996"/>
    <x v="7"/>
    <n v="10"/>
    <x v="7"/>
    <s v="2013"/>
    <n v="0.04"/>
  </r>
  <r>
    <x v="0"/>
    <x v="0"/>
    <x v="5"/>
    <x v="1"/>
    <n v="1778"/>
    <n v="260"/>
    <n v="350"/>
    <n v="622300"/>
    <n v="24892"/>
    <n v="597408"/>
    <n v="462280"/>
    <n v="135128"/>
    <x v="12"/>
    <n v="12"/>
    <x v="2"/>
    <s v="2013"/>
    <n v="0.04"/>
  </r>
  <r>
    <x v="0"/>
    <x v="1"/>
    <x v="1"/>
    <x v="2"/>
    <n v="1159"/>
    <n v="5"/>
    <n v="7"/>
    <n v="8113"/>
    <n v="405.65"/>
    <n v="7707.35"/>
    <n v="5795"/>
    <n v="1912.3500000000004"/>
    <x v="7"/>
    <n v="10"/>
    <x v="7"/>
    <s v="2013"/>
    <n v="4.9999999999999996E-2"/>
  </r>
  <r>
    <x v="0"/>
    <x v="1"/>
    <x v="2"/>
    <x v="2"/>
    <n v="1372"/>
    <n v="10"/>
    <n v="7"/>
    <n v="9604"/>
    <n v="480.2"/>
    <n v="9123.7999999999993"/>
    <n v="6860"/>
    <n v="2263.7999999999993"/>
    <x v="0"/>
    <n v="1"/>
    <x v="0"/>
    <s v="2014"/>
    <n v="4.9999999999999996E-2"/>
  </r>
  <r>
    <x v="0"/>
    <x v="0"/>
    <x v="2"/>
    <x v="2"/>
    <n v="2349"/>
    <n v="10"/>
    <n v="7"/>
    <n v="16443"/>
    <n v="822.15"/>
    <n v="15620.85"/>
    <n v="11745"/>
    <n v="3875.8500000000004"/>
    <x v="9"/>
    <n v="9"/>
    <x v="6"/>
    <s v="2013"/>
    <n v="4.9999999999999996E-2"/>
  </r>
  <r>
    <x v="0"/>
    <x v="3"/>
    <x v="2"/>
    <x v="2"/>
    <n v="2689"/>
    <n v="10"/>
    <n v="7"/>
    <n v="18823"/>
    <n v="941.15"/>
    <n v="17881.849999999999"/>
    <n v="13445"/>
    <n v="4436.8499999999985"/>
    <x v="10"/>
    <n v="10"/>
    <x v="7"/>
    <s v="2014"/>
    <n v="4.9999999999999996E-2"/>
  </r>
  <r>
    <x v="2"/>
    <x v="0"/>
    <x v="2"/>
    <x v="2"/>
    <n v="2431"/>
    <n v="10"/>
    <n v="12"/>
    <n v="29172"/>
    <n v="1458.6"/>
    <n v="27713.4"/>
    <n v="7293"/>
    <n v="20420.400000000001"/>
    <x v="2"/>
    <n v="12"/>
    <x v="2"/>
    <s v="2014"/>
    <n v="4.9999999999999996E-2"/>
  </r>
  <r>
    <x v="2"/>
    <x v="0"/>
    <x v="3"/>
    <x v="2"/>
    <n v="2431"/>
    <n v="120"/>
    <n v="12"/>
    <n v="29172"/>
    <n v="1458.6"/>
    <n v="27713.4"/>
    <n v="7293"/>
    <n v="20420.400000000001"/>
    <x v="2"/>
    <n v="12"/>
    <x v="2"/>
    <s v="2014"/>
    <n v="4.9999999999999996E-2"/>
  </r>
  <r>
    <x v="0"/>
    <x v="3"/>
    <x v="4"/>
    <x v="2"/>
    <n v="2689"/>
    <n v="250"/>
    <n v="7"/>
    <n v="18823"/>
    <n v="941.15"/>
    <n v="17881.849999999999"/>
    <n v="13445"/>
    <n v="4436.8499999999985"/>
    <x v="10"/>
    <n v="10"/>
    <x v="7"/>
    <s v="2014"/>
    <n v="4.9999999999999996E-2"/>
  </r>
  <r>
    <x v="0"/>
    <x v="3"/>
    <x v="5"/>
    <x v="2"/>
    <n v="1683"/>
    <n v="260"/>
    <n v="7"/>
    <n v="11781"/>
    <n v="589.04999999999995"/>
    <n v="11191.95"/>
    <n v="8415"/>
    <n v="2776.9500000000007"/>
    <x v="4"/>
    <n v="7"/>
    <x v="4"/>
    <s v="2014"/>
    <n v="4.9999999999999996E-2"/>
  </r>
  <r>
    <x v="2"/>
    <x v="3"/>
    <x v="5"/>
    <x v="2"/>
    <n v="1123"/>
    <n v="260"/>
    <n v="12"/>
    <n v="13476"/>
    <n v="673.8"/>
    <n v="12802.2"/>
    <n v="3369"/>
    <n v="9433.2000000000007"/>
    <x v="5"/>
    <n v="8"/>
    <x v="5"/>
    <s v="2014"/>
    <n v="4.9999999999999996E-2"/>
  </r>
  <r>
    <x v="0"/>
    <x v="1"/>
    <x v="5"/>
    <x v="2"/>
    <n v="1159"/>
    <n v="260"/>
    <n v="7"/>
    <n v="8113"/>
    <n v="405.65"/>
    <n v="7707.35"/>
    <n v="5795"/>
    <n v="1912.3500000000004"/>
    <x v="7"/>
    <n v="10"/>
    <x v="7"/>
    <s v="2013"/>
    <n v="4.9999999999999996E-2"/>
  </r>
  <r>
    <x v="2"/>
    <x v="2"/>
    <x v="0"/>
    <x v="2"/>
    <n v="1865"/>
    <n v="3"/>
    <n v="12"/>
    <n v="22380"/>
    <n v="1119"/>
    <n v="21261"/>
    <n v="5595"/>
    <n v="15666"/>
    <x v="8"/>
    <n v="2"/>
    <x v="8"/>
    <s v="2014"/>
    <n v="0.05"/>
  </r>
  <r>
    <x v="2"/>
    <x v="1"/>
    <x v="0"/>
    <x v="2"/>
    <n v="1116"/>
    <n v="3"/>
    <n v="12"/>
    <n v="13392"/>
    <n v="669.6"/>
    <n v="12722.4"/>
    <n v="3348"/>
    <n v="9374.4"/>
    <x v="8"/>
    <n v="2"/>
    <x v="8"/>
    <s v="2014"/>
    <n v="0.05"/>
  </r>
  <r>
    <x v="0"/>
    <x v="2"/>
    <x v="0"/>
    <x v="2"/>
    <n v="1563"/>
    <n v="3"/>
    <n v="20"/>
    <n v="31260"/>
    <n v="1563"/>
    <n v="29697"/>
    <n v="15630"/>
    <n v="14067"/>
    <x v="14"/>
    <n v="5"/>
    <x v="11"/>
    <s v="2014"/>
    <n v="0.05"/>
  </r>
  <r>
    <x v="4"/>
    <x v="4"/>
    <x v="0"/>
    <x v="2"/>
    <n v="991"/>
    <n v="3"/>
    <n v="300"/>
    <n v="297300"/>
    <n v="14865"/>
    <n v="282435"/>
    <n v="247750"/>
    <n v="34685"/>
    <x v="1"/>
    <n v="6"/>
    <x v="1"/>
    <s v="2014"/>
    <n v="0.05"/>
  </r>
  <r>
    <x v="0"/>
    <x v="1"/>
    <x v="0"/>
    <x v="2"/>
    <n v="1016"/>
    <n v="3"/>
    <n v="7"/>
    <n v="7112"/>
    <n v="355.6"/>
    <n v="6756.4"/>
    <n v="5080"/>
    <n v="1676.3999999999996"/>
    <x v="11"/>
    <n v="11"/>
    <x v="9"/>
    <s v="2013"/>
    <n v="0.05"/>
  </r>
  <r>
    <x v="1"/>
    <x v="3"/>
    <x v="0"/>
    <x v="2"/>
    <n v="2791"/>
    <n v="3"/>
    <n v="15"/>
    <n v="41865"/>
    <n v="2093.25"/>
    <n v="39771.75"/>
    <n v="27910"/>
    <n v="11861.75"/>
    <x v="15"/>
    <n v="11"/>
    <x v="9"/>
    <s v="2014"/>
    <n v="0.05"/>
  </r>
  <r>
    <x v="0"/>
    <x v="4"/>
    <x v="0"/>
    <x v="2"/>
    <n v="570"/>
    <n v="3"/>
    <n v="7"/>
    <n v="3990"/>
    <n v="199.5"/>
    <n v="3790.5"/>
    <n v="2850"/>
    <n v="940.5"/>
    <x v="2"/>
    <n v="12"/>
    <x v="2"/>
    <s v="2014"/>
    <n v="0.05"/>
  </r>
  <r>
    <x v="0"/>
    <x v="2"/>
    <x v="0"/>
    <x v="2"/>
    <n v="2487"/>
    <n v="3"/>
    <n v="7"/>
    <n v="17409"/>
    <n v="870.45"/>
    <n v="16538.55"/>
    <n v="12435"/>
    <n v="4103.5499999999993"/>
    <x v="2"/>
    <n v="12"/>
    <x v="2"/>
    <s v="2014"/>
    <n v="0.05"/>
  </r>
  <r>
    <x v="0"/>
    <x v="2"/>
    <x v="1"/>
    <x v="2"/>
    <n v="1384.5"/>
    <n v="5"/>
    <n v="350"/>
    <n v="484575"/>
    <n v="24228.75"/>
    <n v="460346.25"/>
    <n v="359970"/>
    <n v="100376.25"/>
    <x v="0"/>
    <n v="1"/>
    <x v="0"/>
    <s v="2014"/>
    <n v="0.05"/>
  </r>
  <r>
    <x v="3"/>
    <x v="4"/>
    <x v="1"/>
    <x v="2"/>
    <n v="3627"/>
    <n v="5"/>
    <n v="125"/>
    <n v="453375"/>
    <n v="22668.75"/>
    <n v="430706.25"/>
    <n v="435240"/>
    <n v="-4533.75"/>
    <x v="4"/>
    <n v="7"/>
    <x v="4"/>
    <s v="2014"/>
    <n v="0.05"/>
  </r>
  <r>
    <x v="0"/>
    <x v="3"/>
    <x v="1"/>
    <x v="2"/>
    <n v="720"/>
    <n v="5"/>
    <n v="350"/>
    <n v="252000"/>
    <n v="12600"/>
    <n v="239400"/>
    <n v="187200"/>
    <n v="52200"/>
    <x v="9"/>
    <n v="9"/>
    <x v="6"/>
    <s v="2013"/>
    <n v="0.05"/>
  </r>
  <r>
    <x v="2"/>
    <x v="1"/>
    <x v="1"/>
    <x v="2"/>
    <n v="2342"/>
    <n v="5"/>
    <n v="12"/>
    <n v="28104"/>
    <n v="1405.2"/>
    <n v="26698.799999999999"/>
    <n v="7026"/>
    <n v="19672.8"/>
    <x v="15"/>
    <n v="11"/>
    <x v="9"/>
    <s v="2014"/>
    <n v="0.05"/>
  </r>
  <r>
    <x v="4"/>
    <x v="3"/>
    <x v="1"/>
    <x v="2"/>
    <n v="1100"/>
    <n v="5"/>
    <n v="300"/>
    <n v="330000"/>
    <n v="16500"/>
    <n v="313500"/>
    <n v="275000"/>
    <n v="38500"/>
    <x v="12"/>
    <n v="12"/>
    <x v="2"/>
    <s v="2013"/>
    <n v="0.05"/>
  </r>
  <r>
    <x v="0"/>
    <x v="2"/>
    <x v="2"/>
    <x v="2"/>
    <n v="1303"/>
    <n v="10"/>
    <n v="20"/>
    <n v="26060"/>
    <n v="1303"/>
    <n v="24757"/>
    <n v="13030"/>
    <n v="11727"/>
    <x v="8"/>
    <n v="2"/>
    <x v="8"/>
    <s v="2014"/>
    <n v="0.05"/>
  </r>
  <r>
    <x v="3"/>
    <x v="4"/>
    <x v="2"/>
    <x v="2"/>
    <n v="2992"/>
    <n v="10"/>
    <n v="125"/>
    <n v="374000"/>
    <n v="18700"/>
    <n v="355300"/>
    <n v="359040"/>
    <n v="-3740"/>
    <x v="3"/>
    <n v="3"/>
    <x v="3"/>
    <s v="2014"/>
    <n v="0.05"/>
  </r>
  <r>
    <x v="3"/>
    <x v="2"/>
    <x v="2"/>
    <x v="2"/>
    <n v="2385"/>
    <n v="10"/>
    <n v="125"/>
    <n v="298125"/>
    <n v="14906.25"/>
    <n v="283218.75"/>
    <n v="286200"/>
    <n v="-2981.25"/>
    <x v="3"/>
    <n v="3"/>
    <x v="3"/>
    <s v="2014"/>
    <n v="0.05"/>
  </r>
  <r>
    <x v="4"/>
    <x v="3"/>
    <x v="2"/>
    <x v="2"/>
    <n v="1607"/>
    <n v="10"/>
    <n v="300"/>
    <n v="482100"/>
    <n v="24105"/>
    <n v="457995"/>
    <n v="401750"/>
    <n v="56245"/>
    <x v="13"/>
    <n v="4"/>
    <x v="10"/>
    <s v="2014"/>
    <n v="0.05"/>
  </r>
  <r>
    <x v="0"/>
    <x v="4"/>
    <x v="2"/>
    <x v="2"/>
    <n v="2327"/>
    <n v="10"/>
    <n v="7"/>
    <n v="16289"/>
    <n v="814.45"/>
    <n v="15474.55"/>
    <n v="11635"/>
    <n v="3839.5499999999993"/>
    <x v="14"/>
    <n v="5"/>
    <x v="11"/>
    <s v="2014"/>
    <n v="0.05"/>
  </r>
  <r>
    <x v="4"/>
    <x v="4"/>
    <x v="2"/>
    <x v="2"/>
    <n v="991"/>
    <n v="10"/>
    <n v="300"/>
    <n v="297300"/>
    <n v="14865"/>
    <n v="282435"/>
    <n v="247750"/>
    <n v="34685"/>
    <x v="1"/>
    <n v="6"/>
    <x v="1"/>
    <s v="2014"/>
    <n v="0.05"/>
  </r>
  <r>
    <x v="0"/>
    <x v="4"/>
    <x v="2"/>
    <x v="2"/>
    <n v="602"/>
    <n v="10"/>
    <n v="350"/>
    <n v="210700"/>
    <n v="10535"/>
    <n v="200165"/>
    <n v="156520"/>
    <n v="43645"/>
    <x v="1"/>
    <n v="6"/>
    <x v="1"/>
    <s v="2014"/>
    <n v="0.05"/>
  </r>
  <r>
    <x v="1"/>
    <x v="2"/>
    <x v="2"/>
    <x v="2"/>
    <n v="2620"/>
    <n v="10"/>
    <n v="15"/>
    <n v="39300"/>
    <n v="1965"/>
    <n v="37335"/>
    <n v="26200"/>
    <n v="11135"/>
    <x v="6"/>
    <n v="9"/>
    <x v="6"/>
    <s v="2014"/>
    <n v="0.05"/>
  </r>
  <r>
    <x v="0"/>
    <x v="0"/>
    <x v="2"/>
    <x v="2"/>
    <n v="1228"/>
    <n v="10"/>
    <n v="350"/>
    <n v="429800"/>
    <n v="21490"/>
    <n v="408310"/>
    <n v="319280"/>
    <n v="89030"/>
    <x v="7"/>
    <n v="10"/>
    <x v="7"/>
    <s v="2013"/>
    <n v="0.05"/>
  </r>
  <r>
    <x v="0"/>
    <x v="0"/>
    <x v="2"/>
    <x v="2"/>
    <n v="1389"/>
    <n v="10"/>
    <n v="20"/>
    <n v="27780"/>
    <n v="1389"/>
    <n v="26391"/>
    <n v="13890"/>
    <n v="12501"/>
    <x v="7"/>
    <n v="10"/>
    <x v="7"/>
    <s v="2013"/>
    <n v="0.05"/>
  </r>
  <r>
    <x v="3"/>
    <x v="4"/>
    <x v="2"/>
    <x v="2"/>
    <n v="861"/>
    <n v="10"/>
    <n v="125"/>
    <n v="107625"/>
    <n v="5381.25"/>
    <n v="102243.75"/>
    <n v="103320"/>
    <n v="-1076.25"/>
    <x v="10"/>
    <n v="10"/>
    <x v="7"/>
    <s v="2014"/>
    <n v="0.05"/>
  </r>
  <r>
    <x v="3"/>
    <x v="2"/>
    <x v="2"/>
    <x v="2"/>
    <n v="704"/>
    <n v="10"/>
    <n v="125"/>
    <n v="88000"/>
    <n v="4400"/>
    <n v="83600"/>
    <n v="84480"/>
    <n v="-880"/>
    <x v="7"/>
    <n v="10"/>
    <x v="7"/>
    <s v="2013"/>
    <n v="0.05"/>
  </r>
  <r>
    <x v="0"/>
    <x v="0"/>
    <x v="2"/>
    <x v="2"/>
    <n v="1802"/>
    <n v="10"/>
    <n v="20"/>
    <n v="36040"/>
    <n v="1802"/>
    <n v="34238"/>
    <n v="18020"/>
    <n v="16218"/>
    <x v="12"/>
    <n v="12"/>
    <x v="2"/>
    <s v="2013"/>
    <n v="0.05"/>
  </r>
  <r>
    <x v="0"/>
    <x v="4"/>
    <x v="2"/>
    <x v="2"/>
    <n v="2663"/>
    <n v="10"/>
    <n v="20"/>
    <n v="53260"/>
    <n v="2663"/>
    <n v="50597"/>
    <n v="26630"/>
    <n v="23967"/>
    <x v="2"/>
    <n v="12"/>
    <x v="2"/>
    <s v="2014"/>
    <n v="0.05"/>
  </r>
  <r>
    <x v="0"/>
    <x v="2"/>
    <x v="2"/>
    <x v="2"/>
    <n v="2136"/>
    <n v="10"/>
    <n v="7"/>
    <n v="14952"/>
    <n v="747.6"/>
    <n v="14204.4"/>
    <n v="10680"/>
    <n v="3524.3999999999996"/>
    <x v="12"/>
    <n v="12"/>
    <x v="2"/>
    <s v="2013"/>
    <n v="0.05"/>
  </r>
  <r>
    <x v="1"/>
    <x v="1"/>
    <x v="2"/>
    <x v="2"/>
    <n v="2116"/>
    <n v="10"/>
    <n v="15"/>
    <n v="31740"/>
    <n v="1587"/>
    <n v="30153"/>
    <n v="21160"/>
    <n v="8993"/>
    <x v="12"/>
    <n v="12"/>
    <x v="2"/>
    <s v="2013"/>
    <n v="0.05"/>
  </r>
  <r>
    <x v="1"/>
    <x v="4"/>
    <x v="3"/>
    <x v="2"/>
    <n v="555"/>
    <n v="120"/>
    <n v="15"/>
    <n v="8325"/>
    <n v="416.25"/>
    <n v="7908.75"/>
    <n v="5550"/>
    <n v="2358.75"/>
    <x v="0"/>
    <n v="1"/>
    <x v="0"/>
    <s v="2014"/>
    <n v="0.05"/>
  </r>
  <r>
    <x v="1"/>
    <x v="3"/>
    <x v="3"/>
    <x v="2"/>
    <n v="2861"/>
    <n v="120"/>
    <n v="15"/>
    <n v="42915"/>
    <n v="2145.75"/>
    <n v="40769.25"/>
    <n v="28610"/>
    <n v="12159.25"/>
    <x v="0"/>
    <n v="1"/>
    <x v="0"/>
    <s v="2014"/>
    <n v="0.05"/>
  </r>
  <r>
    <x v="3"/>
    <x v="1"/>
    <x v="3"/>
    <x v="2"/>
    <n v="807"/>
    <n v="120"/>
    <n v="125"/>
    <n v="100875"/>
    <n v="5043.75"/>
    <n v="95831.25"/>
    <n v="96840"/>
    <n v="-1008.75"/>
    <x v="8"/>
    <n v="2"/>
    <x v="8"/>
    <s v="2014"/>
    <n v="0.05"/>
  </r>
  <r>
    <x v="0"/>
    <x v="4"/>
    <x v="3"/>
    <x v="2"/>
    <n v="602"/>
    <n v="120"/>
    <n v="350"/>
    <n v="210700"/>
    <n v="10535"/>
    <n v="200165"/>
    <n v="156520"/>
    <n v="43645"/>
    <x v="1"/>
    <n v="6"/>
    <x v="1"/>
    <s v="2014"/>
    <n v="0.05"/>
  </r>
  <r>
    <x v="0"/>
    <x v="4"/>
    <x v="3"/>
    <x v="2"/>
    <n v="2832"/>
    <n v="120"/>
    <n v="20"/>
    <n v="56640"/>
    <n v="2832"/>
    <n v="53808"/>
    <n v="28320"/>
    <n v="25488"/>
    <x v="5"/>
    <n v="8"/>
    <x v="5"/>
    <s v="2014"/>
    <n v="0.05"/>
  </r>
  <r>
    <x v="0"/>
    <x v="2"/>
    <x v="3"/>
    <x v="2"/>
    <n v="1579"/>
    <n v="120"/>
    <n v="20"/>
    <n v="31580"/>
    <n v="1579"/>
    <n v="30001"/>
    <n v="15790"/>
    <n v="14211"/>
    <x v="5"/>
    <n v="8"/>
    <x v="5"/>
    <s v="2014"/>
    <n v="0.05"/>
  </r>
  <r>
    <x v="3"/>
    <x v="4"/>
    <x v="3"/>
    <x v="2"/>
    <n v="861"/>
    <n v="120"/>
    <n v="125"/>
    <n v="107625"/>
    <n v="5381.25"/>
    <n v="102243.75"/>
    <n v="103320"/>
    <n v="-1076.25"/>
    <x v="10"/>
    <n v="10"/>
    <x v="7"/>
    <s v="2014"/>
    <n v="0.05"/>
  </r>
  <r>
    <x v="3"/>
    <x v="2"/>
    <x v="3"/>
    <x v="2"/>
    <n v="704"/>
    <n v="120"/>
    <n v="125"/>
    <n v="88000"/>
    <n v="4400"/>
    <n v="83600"/>
    <n v="84480"/>
    <n v="-880"/>
    <x v="7"/>
    <n v="10"/>
    <x v="7"/>
    <s v="2013"/>
    <n v="0.05"/>
  </r>
  <r>
    <x v="0"/>
    <x v="2"/>
    <x v="3"/>
    <x v="2"/>
    <n v="1033"/>
    <n v="120"/>
    <n v="20"/>
    <n v="20660"/>
    <n v="1033"/>
    <n v="19627"/>
    <n v="10330"/>
    <n v="9297"/>
    <x v="12"/>
    <n v="12"/>
    <x v="2"/>
    <s v="2013"/>
    <n v="0.05"/>
  </r>
  <r>
    <x v="4"/>
    <x v="1"/>
    <x v="3"/>
    <x v="2"/>
    <n v="1250"/>
    <n v="120"/>
    <n v="300"/>
    <n v="375000"/>
    <n v="18750"/>
    <n v="356250"/>
    <n v="312500"/>
    <n v="43750"/>
    <x v="2"/>
    <n v="12"/>
    <x v="2"/>
    <s v="2014"/>
    <n v="0.05"/>
  </r>
  <r>
    <x v="0"/>
    <x v="0"/>
    <x v="4"/>
    <x v="2"/>
    <n v="1389"/>
    <n v="250"/>
    <n v="20"/>
    <n v="27780"/>
    <n v="1389"/>
    <n v="26391"/>
    <n v="13890"/>
    <n v="12501"/>
    <x v="7"/>
    <n v="10"/>
    <x v="7"/>
    <s v="2013"/>
    <n v="0.05"/>
  </r>
  <r>
    <x v="0"/>
    <x v="4"/>
    <x v="4"/>
    <x v="2"/>
    <n v="1265"/>
    <n v="250"/>
    <n v="20"/>
    <n v="25300"/>
    <n v="1265"/>
    <n v="24035"/>
    <n v="12650"/>
    <n v="11385"/>
    <x v="11"/>
    <n v="11"/>
    <x v="9"/>
    <s v="2013"/>
    <n v="0.05"/>
  </r>
  <r>
    <x v="0"/>
    <x v="1"/>
    <x v="4"/>
    <x v="2"/>
    <n v="2297"/>
    <n v="250"/>
    <n v="20"/>
    <n v="45940"/>
    <n v="2297"/>
    <n v="43643"/>
    <n v="22970"/>
    <n v="20673"/>
    <x v="11"/>
    <n v="11"/>
    <x v="9"/>
    <s v="2013"/>
    <n v="0.05"/>
  </r>
  <r>
    <x v="0"/>
    <x v="4"/>
    <x v="4"/>
    <x v="2"/>
    <n v="2663"/>
    <n v="250"/>
    <n v="20"/>
    <n v="53260"/>
    <n v="2663"/>
    <n v="50597"/>
    <n v="26630"/>
    <n v="23967"/>
    <x v="2"/>
    <n v="12"/>
    <x v="2"/>
    <s v="2014"/>
    <n v="0.05"/>
  </r>
  <r>
    <x v="0"/>
    <x v="4"/>
    <x v="4"/>
    <x v="2"/>
    <n v="570"/>
    <n v="250"/>
    <n v="7"/>
    <n v="3990"/>
    <n v="199.5"/>
    <n v="3790.5"/>
    <n v="2850"/>
    <n v="940.5"/>
    <x v="2"/>
    <n v="12"/>
    <x v="2"/>
    <s v="2014"/>
    <n v="0.05"/>
  </r>
  <r>
    <x v="0"/>
    <x v="2"/>
    <x v="4"/>
    <x v="2"/>
    <n v="2487"/>
    <n v="250"/>
    <n v="7"/>
    <n v="17409"/>
    <n v="870.45"/>
    <n v="16538.55"/>
    <n v="12435"/>
    <n v="4103.5499999999993"/>
    <x v="2"/>
    <n v="12"/>
    <x v="2"/>
    <s v="2014"/>
    <n v="0.05"/>
  </r>
  <r>
    <x v="0"/>
    <x v="1"/>
    <x v="5"/>
    <x v="2"/>
    <n v="1350"/>
    <n v="260"/>
    <n v="350"/>
    <n v="472500"/>
    <n v="23625"/>
    <n v="448875"/>
    <n v="351000"/>
    <n v="97875"/>
    <x v="8"/>
    <n v="2"/>
    <x v="8"/>
    <s v="2014"/>
    <n v="0.05"/>
  </r>
  <r>
    <x v="0"/>
    <x v="0"/>
    <x v="5"/>
    <x v="2"/>
    <n v="552"/>
    <n v="260"/>
    <n v="350"/>
    <n v="193200"/>
    <n v="9660"/>
    <n v="183540"/>
    <n v="143520"/>
    <n v="40020"/>
    <x v="5"/>
    <n v="8"/>
    <x v="5"/>
    <s v="2014"/>
    <n v="0.05"/>
  </r>
  <r>
    <x v="0"/>
    <x v="0"/>
    <x v="5"/>
    <x v="2"/>
    <n v="1228"/>
    <n v="260"/>
    <n v="350"/>
    <n v="429800"/>
    <n v="21490"/>
    <n v="408310"/>
    <n v="319280"/>
    <n v="89030"/>
    <x v="7"/>
    <n v="10"/>
    <x v="7"/>
    <s v="2013"/>
    <n v="0.05"/>
  </r>
  <r>
    <x v="4"/>
    <x v="1"/>
    <x v="5"/>
    <x v="2"/>
    <n v="1250"/>
    <n v="260"/>
    <n v="300"/>
    <n v="375000"/>
    <n v="18750"/>
    <n v="356250"/>
    <n v="312500"/>
    <n v="43750"/>
    <x v="2"/>
    <n v="12"/>
    <x v="2"/>
    <s v="2014"/>
    <n v="0.05"/>
  </r>
  <r>
    <x v="1"/>
    <x v="2"/>
    <x v="2"/>
    <x v="2"/>
    <n v="3801"/>
    <n v="10"/>
    <n v="15"/>
    <n v="57015"/>
    <n v="3420.8999999999996"/>
    <n v="53594.100000000006"/>
    <n v="38010"/>
    <n v="15584.100000000002"/>
    <x v="13"/>
    <n v="4"/>
    <x v="10"/>
    <s v="2014"/>
    <n v="5.9999999999999991E-2"/>
  </r>
  <r>
    <x v="0"/>
    <x v="4"/>
    <x v="0"/>
    <x v="2"/>
    <n v="1117.5"/>
    <n v="3"/>
    <n v="20"/>
    <n v="22350"/>
    <n v="1341"/>
    <n v="21009"/>
    <n v="11175"/>
    <n v="9834"/>
    <x v="0"/>
    <n v="1"/>
    <x v="0"/>
    <s v="2014"/>
    <n v="0.06"/>
  </r>
  <r>
    <x v="1"/>
    <x v="0"/>
    <x v="0"/>
    <x v="2"/>
    <n v="2844"/>
    <n v="3"/>
    <n v="15"/>
    <n v="42660"/>
    <n v="2559.6"/>
    <n v="40100.400000000001"/>
    <n v="28440"/>
    <n v="11660.400000000001"/>
    <x v="1"/>
    <n v="6"/>
    <x v="1"/>
    <s v="2014"/>
    <n v="0.06"/>
  </r>
  <r>
    <x v="2"/>
    <x v="3"/>
    <x v="0"/>
    <x v="2"/>
    <n v="562"/>
    <n v="3"/>
    <n v="12"/>
    <n v="6744"/>
    <n v="404.64"/>
    <n v="6339.36"/>
    <n v="1686"/>
    <n v="4653.3599999999997"/>
    <x v="6"/>
    <n v="9"/>
    <x v="6"/>
    <s v="2014"/>
    <n v="0.06"/>
  </r>
  <r>
    <x v="2"/>
    <x v="0"/>
    <x v="0"/>
    <x v="2"/>
    <n v="2299"/>
    <n v="3"/>
    <n v="12"/>
    <n v="27588"/>
    <n v="1655.28"/>
    <n v="25932.720000000001"/>
    <n v="6897"/>
    <n v="19035.72"/>
    <x v="7"/>
    <n v="10"/>
    <x v="7"/>
    <s v="2013"/>
    <n v="0.06"/>
  </r>
  <r>
    <x v="1"/>
    <x v="4"/>
    <x v="0"/>
    <x v="2"/>
    <n v="2030"/>
    <n v="3"/>
    <n v="15"/>
    <n v="30450"/>
    <n v="1827"/>
    <n v="28623"/>
    <n v="20300"/>
    <n v="8323"/>
    <x v="15"/>
    <n v="11"/>
    <x v="9"/>
    <s v="2014"/>
    <n v="0.06"/>
  </r>
  <r>
    <x v="0"/>
    <x v="4"/>
    <x v="0"/>
    <x v="2"/>
    <n v="263"/>
    <n v="3"/>
    <n v="7"/>
    <n v="1841"/>
    <n v="110.46"/>
    <n v="1730.54"/>
    <n v="1315"/>
    <n v="415.53999999999996"/>
    <x v="11"/>
    <n v="11"/>
    <x v="9"/>
    <s v="2013"/>
    <n v="0.06"/>
  </r>
  <r>
    <x v="3"/>
    <x v="1"/>
    <x v="0"/>
    <x v="2"/>
    <n v="887"/>
    <n v="3"/>
    <n v="125"/>
    <n v="110875"/>
    <n v="6652.5"/>
    <n v="104222.5"/>
    <n v="106440"/>
    <n v="-2217.5"/>
    <x v="12"/>
    <n v="12"/>
    <x v="2"/>
    <s v="2013"/>
    <n v="0.06"/>
  </r>
  <r>
    <x v="0"/>
    <x v="3"/>
    <x v="1"/>
    <x v="2"/>
    <n v="980"/>
    <n v="5"/>
    <n v="350"/>
    <n v="343000"/>
    <n v="20580"/>
    <n v="322420"/>
    <n v="254800"/>
    <n v="67620"/>
    <x v="13"/>
    <n v="4"/>
    <x v="10"/>
    <s v="2014"/>
    <n v="0.06"/>
  </r>
  <r>
    <x v="0"/>
    <x v="1"/>
    <x v="1"/>
    <x v="2"/>
    <n v="1460"/>
    <n v="5"/>
    <n v="350"/>
    <n v="511000"/>
    <n v="30660"/>
    <n v="480340"/>
    <n v="379600"/>
    <n v="100740"/>
    <x v="14"/>
    <n v="5"/>
    <x v="11"/>
    <s v="2014"/>
    <n v="0.06"/>
  </r>
  <r>
    <x v="0"/>
    <x v="2"/>
    <x v="1"/>
    <x v="2"/>
    <n v="1403"/>
    <n v="5"/>
    <n v="7"/>
    <n v="9821"/>
    <n v="589.26"/>
    <n v="9231.74"/>
    <n v="7015"/>
    <n v="2216.7399999999998"/>
    <x v="7"/>
    <n v="10"/>
    <x v="7"/>
    <s v="2013"/>
    <n v="0.06"/>
  </r>
  <r>
    <x v="2"/>
    <x v="4"/>
    <x v="1"/>
    <x v="2"/>
    <n v="2723"/>
    <n v="5"/>
    <n v="12"/>
    <n v="32676"/>
    <n v="1960.56"/>
    <n v="30715.439999999999"/>
    <n v="8169"/>
    <n v="22546.44"/>
    <x v="15"/>
    <n v="11"/>
    <x v="9"/>
    <s v="2014"/>
    <n v="0.06"/>
  </r>
  <r>
    <x v="0"/>
    <x v="2"/>
    <x v="2"/>
    <x v="2"/>
    <n v="1496"/>
    <n v="10"/>
    <n v="350"/>
    <n v="523600"/>
    <n v="31416"/>
    <n v="492184"/>
    <n v="388960"/>
    <n v="103224"/>
    <x v="1"/>
    <n v="6"/>
    <x v="1"/>
    <s v="2014"/>
    <n v="0.06"/>
  </r>
  <r>
    <x v="2"/>
    <x v="0"/>
    <x v="2"/>
    <x v="2"/>
    <n v="2299"/>
    <n v="10"/>
    <n v="12"/>
    <n v="27588"/>
    <n v="1655.28"/>
    <n v="25932.720000000001"/>
    <n v="6897"/>
    <n v="19035.72"/>
    <x v="7"/>
    <n v="10"/>
    <x v="7"/>
    <s v="2013"/>
    <n v="0.06"/>
  </r>
  <r>
    <x v="0"/>
    <x v="4"/>
    <x v="2"/>
    <x v="2"/>
    <n v="727"/>
    <n v="10"/>
    <n v="350"/>
    <n v="254450"/>
    <n v="15267"/>
    <n v="239183"/>
    <n v="189020"/>
    <n v="50163"/>
    <x v="7"/>
    <n v="10"/>
    <x v="7"/>
    <s v="2013"/>
    <n v="0.06"/>
  </r>
  <r>
    <x v="3"/>
    <x v="0"/>
    <x v="3"/>
    <x v="2"/>
    <n v="952"/>
    <n v="120"/>
    <n v="125"/>
    <n v="119000"/>
    <n v="7140"/>
    <n v="111860"/>
    <n v="114240"/>
    <n v="-2380"/>
    <x v="8"/>
    <n v="2"/>
    <x v="8"/>
    <s v="2014"/>
    <n v="0.06"/>
  </r>
  <r>
    <x v="3"/>
    <x v="4"/>
    <x v="3"/>
    <x v="2"/>
    <n v="2755"/>
    <n v="120"/>
    <n v="125"/>
    <n v="344375"/>
    <n v="20662.5"/>
    <n v="323712.5"/>
    <n v="330600"/>
    <n v="-6887.5"/>
    <x v="8"/>
    <n v="2"/>
    <x v="8"/>
    <s v="2014"/>
    <n v="0.06"/>
  </r>
  <r>
    <x v="1"/>
    <x v="1"/>
    <x v="3"/>
    <x v="2"/>
    <n v="1530"/>
    <n v="120"/>
    <n v="15"/>
    <n v="22950"/>
    <n v="1377"/>
    <n v="21573"/>
    <n v="15300"/>
    <n v="6273"/>
    <x v="14"/>
    <n v="5"/>
    <x v="11"/>
    <s v="2014"/>
    <n v="0.06"/>
  </r>
  <r>
    <x v="0"/>
    <x v="2"/>
    <x v="3"/>
    <x v="2"/>
    <n v="1496"/>
    <n v="120"/>
    <n v="350"/>
    <n v="523600"/>
    <n v="31416"/>
    <n v="492184"/>
    <n v="388960"/>
    <n v="103224"/>
    <x v="1"/>
    <n v="6"/>
    <x v="1"/>
    <s v="2014"/>
    <n v="0.06"/>
  </r>
  <r>
    <x v="0"/>
    <x v="3"/>
    <x v="3"/>
    <x v="2"/>
    <n v="1498"/>
    <n v="120"/>
    <n v="7"/>
    <n v="10486"/>
    <n v="629.16"/>
    <n v="9856.84"/>
    <n v="7490"/>
    <n v="2366.84"/>
    <x v="1"/>
    <n v="6"/>
    <x v="1"/>
    <s v="2014"/>
    <n v="0.06"/>
  </r>
  <r>
    <x v="4"/>
    <x v="2"/>
    <x v="3"/>
    <x v="2"/>
    <n v="1221"/>
    <n v="120"/>
    <n v="300"/>
    <n v="366300"/>
    <n v="21978"/>
    <n v="344322"/>
    <n v="305250"/>
    <n v="39072"/>
    <x v="7"/>
    <n v="10"/>
    <x v="7"/>
    <s v="2013"/>
    <n v="0.06"/>
  </r>
  <r>
    <x v="0"/>
    <x v="2"/>
    <x v="3"/>
    <x v="2"/>
    <n v="2076"/>
    <n v="120"/>
    <n v="350"/>
    <n v="726600"/>
    <n v="43596"/>
    <n v="683004"/>
    <n v="539760"/>
    <n v="143244"/>
    <x v="7"/>
    <n v="10"/>
    <x v="7"/>
    <s v="2013"/>
    <n v="0.06"/>
  </r>
  <r>
    <x v="1"/>
    <x v="0"/>
    <x v="4"/>
    <x v="2"/>
    <n v="2844"/>
    <n v="250"/>
    <n v="15"/>
    <n v="42660"/>
    <n v="2559.6"/>
    <n v="40100.400000000001"/>
    <n v="28440"/>
    <n v="11660.400000000001"/>
    <x v="1"/>
    <n v="6"/>
    <x v="1"/>
    <s v="2014"/>
    <n v="0.06"/>
  </r>
  <r>
    <x v="0"/>
    <x v="3"/>
    <x v="4"/>
    <x v="2"/>
    <n v="1498"/>
    <n v="250"/>
    <n v="7"/>
    <n v="10486"/>
    <n v="629.16"/>
    <n v="9856.84"/>
    <n v="7490"/>
    <n v="2366.84"/>
    <x v="1"/>
    <n v="6"/>
    <x v="1"/>
    <s v="2014"/>
    <n v="0.06"/>
  </r>
  <r>
    <x v="4"/>
    <x v="2"/>
    <x v="4"/>
    <x v="2"/>
    <n v="1221"/>
    <n v="250"/>
    <n v="300"/>
    <n v="366300"/>
    <n v="21978"/>
    <n v="344322"/>
    <n v="305250"/>
    <n v="39072"/>
    <x v="7"/>
    <n v="10"/>
    <x v="7"/>
    <s v="2013"/>
    <n v="0.06"/>
  </r>
  <r>
    <x v="0"/>
    <x v="3"/>
    <x v="4"/>
    <x v="2"/>
    <n v="1123"/>
    <n v="250"/>
    <n v="20"/>
    <n v="22460"/>
    <n v="1347.6"/>
    <n v="21112.400000000001"/>
    <n v="11230"/>
    <n v="9882.4000000000015"/>
    <x v="11"/>
    <n v="11"/>
    <x v="9"/>
    <s v="2013"/>
    <n v="0.06"/>
  </r>
  <r>
    <x v="4"/>
    <x v="0"/>
    <x v="4"/>
    <x v="2"/>
    <n v="2436"/>
    <n v="250"/>
    <n v="300"/>
    <n v="730800"/>
    <n v="43848"/>
    <n v="686952"/>
    <n v="609000"/>
    <n v="77952"/>
    <x v="12"/>
    <n v="12"/>
    <x v="2"/>
    <s v="2013"/>
    <n v="0.06"/>
  </r>
  <r>
    <x v="3"/>
    <x v="2"/>
    <x v="5"/>
    <x v="2"/>
    <n v="1987.5"/>
    <n v="260"/>
    <n v="125"/>
    <n v="248437.5"/>
    <n v="14906.25"/>
    <n v="233531.25"/>
    <n v="238500"/>
    <n v="-4968.75"/>
    <x v="0"/>
    <n v="1"/>
    <x v="0"/>
    <s v="2014"/>
    <n v="0.06"/>
  </r>
  <r>
    <x v="0"/>
    <x v="3"/>
    <x v="5"/>
    <x v="2"/>
    <n v="1679"/>
    <n v="260"/>
    <n v="350"/>
    <n v="587650"/>
    <n v="35259"/>
    <n v="552391"/>
    <n v="436540"/>
    <n v="115851"/>
    <x v="6"/>
    <n v="9"/>
    <x v="6"/>
    <s v="2014"/>
    <n v="0.06"/>
  </r>
  <r>
    <x v="0"/>
    <x v="4"/>
    <x v="5"/>
    <x v="2"/>
    <n v="727"/>
    <n v="260"/>
    <n v="350"/>
    <n v="254450"/>
    <n v="15267"/>
    <n v="239183"/>
    <n v="189020"/>
    <n v="50163"/>
    <x v="7"/>
    <n v="10"/>
    <x v="7"/>
    <s v="2013"/>
    <n v="0.06"/>
  </r>
  <r>
    <x v="0"/>
    <x v="2"/>
    <x v="5"/>
    <x v="2"/>
    <n v="1403"/>
    <n v="260"/>
    <n v="7"/>
    <n v="9821"/>
    <n v="589.26"/>
    <n v="9231.74"/>
    <n v="7015"/>
    <n v="2216.7399999999998"/>
    <x v="7"/>
    <n v="10"/>
    <x v="7"/>
    <s v="2013"/>
    <n v="0.06"/>
  </r>
  <r>
    <x v="0"/>
    <x v="2"/>
    <x v="5"/>
    <x v="2"/>
    <n v="2076"/>
    <n v="260"/>
    <n v="350"/>
    <n v="726600"/>
    <n v="43596"/>
    <n v="683004"/>
    <n v="539760"/>
    <n v="143244"/>
    <x v="7"/>
    <n v="10"/>
    <x v="7"/>
    <s v="2013"/>
    <n v="0.06"/>
  </r>
  <r>
    <x v="0"/>
    <x v="2"/>
    <x v="1"/>
    <x v="2"/>
    <n v="1757"/>
    <n v="5"/>
    <n v="20"/>
    <n v="35140"/>
    <n v="2108.4"/>
    <n v="33031.599999999999"/>
    <n v="17570"/>
    <n v="15461.599999999999"/>
    <x v="7"/>
    <n v="10"/>
    <x v="7"/>
    <s v="2013"/>
    <n v="6.0000000000000005E-2"/>
  </r>
  <r>
    <x v="1"/>
    <x v="4"/>
    <x v="2"/>
    <x v="2"/>
    <n v="2198"/>
    <n v="10"/>
    <n v="15"/>
    <n v="32970"/>
    <n v="1978.2"/>
    <n v="30991.8"/>
    <n v="21980"/>
    <n v="9011.7999999999993"/>
    <x v="5"/>
    <n v="8"/>
    <x v="5"/>
    <s v="2014"/>
    <n v="6.0000000000000005E-2"/>
  </r>
  <r>
    <x v="1"/>
    <x v="1"/>
    <x v="2"/>
    <x v="2"/>
    <n v="1743"/>
    <n v="10"/>
    <n v="15"/>
    <n v="26145"/>
    <n v="1568.7"/>
    <n v="24576.3"/>
    <n v="17430"/>
    <n v="7146.2999999999993"/>
    <x v="5"/>
    <n v="8"/>
    <x v="5"/>
    <s v="2014"/>
    <n v="6.0000000000000005E-2"/>
  </r>
  <r>
    <x v="1"/>
    <x v="4"/>
    <x v="2"/>
    <x v="2"/>
    <n v="1153"/>
    <n v="10"/>
    <n v="15"/>
    <n v="17295"/>
    <n v="1037.7"/>
    <n v="16257.3"/>
    <n v="11530"/>
    <n v="4727.2999999999993"/>
    <x v="10"/>
    <n v="10"/>
    <x v="7"/>
    <s v="2014"/>
    <n v="6.0000000000000005E-2"/>
  </r>
  <r>
    <x v="0"/>
    <x v="2"/>
    <x v="2"/>
    <x v="2"/>
    <n v="1757"/>
    <n v="10"/>
    <n v="20"/>
    <n v="35140"/>
    <n v="2108.4"/>
    <n v="33031.599999999999"/>
    <n v="17570"/>
    <n v="15461.599999999999"/>
    <x v="7"/>
    <n v="10"/>
    <x v="7"/>
    <s v="2013"/>
    <n v="6.0000000000000005E-2"/>
  </r>
  <r>
    <x v="0"/>
    <x v="1"/>
    <x v="3"/>
    <x v="2"/>
    <n v="1001"/>
    <n v="120"/>
    <n v="20"/>
    <n v="20020"/>
    <n v="1201.2"/>
    <n v="18818.8"/>
    <n v="10010"/>
    <n v="8808.7999999999993"/>
    <x v="5"/>
    <n v="8"/>
    <x v="5"/>
    <s v="2014"/>
    <n v="6.0000000000000005E-2"/>
  </r>
  <r>
    <x v="0"/>
    <x v="3"/>
    <x v="3"/>
    <x v="2"/>
    <n v="1333"/>
    <n v="120"/>
    <n v="7"/>
    <n v="9331"/>
    <n v="559.86"/>
    <n v="8771.14"/>
    <n v="6665"/>
    <n v="2106.1399999999994"/>
    <x v="15"/>
    <n v="11"/>
    <x v="9"/>
    <s v="2014"/>
    <n v="6.0000000000000005E-2"/>
  </r>
  <r>
    <x v="1"/>
    <x v="4"/>
    <x v="4"/>
    <x v="2"/>
    <n v="1153"/>
    <n v="250"/>
    <n v="15"/>
    <n v="17295"/>
    <n v="1037.7"/>
    <n v="16257.3"/>
    <n v="11530"/>
    <n v="4727.2999999999993"/>
    <x v="10"/>
    <n v="10"/>
    <x v="7"/>
    <s v="2014"/>
    <n v="6.0000000000000005E-2"/>
  </r>
  <r>
    <x v="2"/>
    <x v="3"/>
    <x v="0"/>
    <x v="2"/>
    <n v="727"/>
    <n v="3"/>
    <n v="12"/>
    <n v="8724"/>
    <n v="610.67999999999995"/>
    <n v="8113.32"/>
    <n v="2181"/>
    <n v="5932.32"/>
    <x v="8"/>
    <n v="2"/>
    <x v="8"/>
    <s v="2014"/>
    <n v="6.9999999999999993E-2"/>
  </r>
  <r>
    <x v="2"/>
    <x v="0"/>
    <x v="0"/>
    <x v="2"/>
    <n v="1884"/>
    <n v="3"/>
    <n v="12"/>
    <n v="22608"/>
    <n v="1582.56"/>
    <n v="21025.439999999999"/>
    <n v="5652"/>
    <n v="15373.439999999999"/>
    <x v="5"/>
    <n v="8"/>
    <x v="5"/>
    <s v="2014"/>
    <n v="6.9999999999999993E-2"/>
  </r>
  <r>
    <x v="0"/>
    <x v="3"/>
    <x v="0"/>
    <x v="2"/>
    <n v="1834"/>
    <n v="3"/>
    <n v="20"/>
    <n v="36680"/>
    <n v="2567.6"/>
    <n v="34112.400000000001"/>
    <n v="18340"/>
    <n v="15772.400000000001"/>
    <x v="9"/>
    <n v="9"/>
    <x v="6"/>
    <s v="2013"/>
    <n v="6.9999999999999993E-2"/>
  </r>
  <r>
    <x v="2"/>
    <x v="3"/>
    <x v="1"/>
    <x v="2"/>
    <n v="2340"/>
    <n v="5"/>
    <n v="12"/>
    <n v="28080"/>
    <n v="1965.6"/>
    <n v="26114.400000000001"/>
    <n v="7020"/>
    <n v="19094.400000000001"/>
    <x v="0"/>
    <n v="1"/>
    <x v="0"/>
    <s v="2014"/>
    <n v="6.9999999999999993E-2"/>
  </r>
  <r>
    <x v="2"/>
    <x v="2"/>
    <x v="1"/>
    <x v="2"/>
    <n v="2342"/>
    <n v="5"/>
    <n v="12"/>
    <n v="28104"/>
    <n v="1967.28"/>
    <n v="26136.720000000001"/>
    <n v="7026"/>
    <n v="19110.72"/>
    <x v="15"/>
    <n v="11"/>
    <x v="9"/>
    <s v="2014"/>
    <n v="6.9999999999999993E-2"/>
  </r>
  <r>
    <x v="0"/>
    <x v="2"/>
    <x v="2"/>
    <x v="2"/>
    <n v="1031"/>
    <n v="10"/>
    <n v="7"/>
    <n v="7217"/>
    <n v="505.19"/>
    <n v="6711.81"/>
    <n v="5155"/>
    <n v="1556.8100000000004"/>
    <x v="9"/>
    <n v="9"/>
    <x v="6"/>
    <s v="2013"/>
    <n v="6.9999999999999993E-2"/>
  </r>
  <r>
    <x v="1"/>
    <x v="0"/>
    <x v="3"/>
    <x v="2"/>
    <n v="1262"/>
    <n v="120"/>
    <n v="15"/>
    <n v="18930"/>
    <n v="1325.1"/>
    <n v="17604.900000000001"/>
    <n v="12620"/>
    <n v="4984.9000000000015"/>
    <x v="14"/>
    <n v="5"/>
    <x v="11"/>
    <s v="2014"/>
    <n v="6.9999999999999993E-2"/>
  </r>
  <r>
    <x v="0"/>
    <x v="0"/>
    <x v="3"/>
    <x v="2"/>
    <n v="1135"/>
    <n v="120"/>
    <n v="7"/>
    <n v="7945"/>
    <n v="556.15"/>
    <n v="7388.85"/>
    <n v="5675"/>
    <n v="1713.8500000000004"/>
    <x v="1"/>
    <n v="6"/>
    <x v="1"/>
    <s v="2014"/>
    <n v="6.9999999999999993E-2"/>
  </r>
  <r>
    <x v="0"/>
    <x v="4"/>
    <x v="3"/>
    <x v="2"/>
    <n v="547"/>
    <n v="120"/>
    <n v="7"/>
    <n v="3829"/>
    <n v="268.02999999999997"/>
    <n v="3560.9700000000003"/>
    <n v="2735"/>
    <n v="825.97000000000025"/>
    <x v="15"/>
    <n v="11"/>
    <x v="9"/>
    <s v="2014"/>
    <n v="6.9999999999999993E-2"/>
  </r>
  <r>
    <x v="0"/>
    <x v="0"/>
    <x v="3"/>
    <x v="2"/>
    <n v="1582"/>
    <n v="120"/>
    <n v="7"/>
    <n v="11074"/>
    <n v="775.18"/>
    <n v="10298.82"/>
    <n v="7910"/>
    <n v="2388.8199999999997"/>
    <x v="2"/>
    <n v="12"/>
    <x v="2"/>
    <s v="2014"/>
    <n v="6.9999999999999993E-2"/>
  </r>
  <r>
    <x v="2"/>
    <x v="2"/>
    <x v="4"/>
    <x v="2"/>
    <n v="1738.5"/>
    <n v="250"/>
    <n v="12"/>
    <n v="20862"/>
    <n v="1460.34"/>
    <n v="19401.66"/>
    <n v="5215.5"/>
    <n v="14186.16"/>
    <x v="13"/>
    <n v="4"/>
    <x v="10"/>
    <s v="2014"/>
    <n v="6.9999999999999993E-2"/>
  </r>
  <r>
    <x v="2"/>
    <x v="1"/>
    <x v="4"/>
    <x v="2"/>
    <n v="2215"/>
    <n v="250"/>
    <n v="12"/>
    <n v="26580"/>
    <n v="1860.6"/>
    <n v="24719.4"/>
    <n v="6645"/>
    <n v="18074.400000000001"/>
    <x v="9"/>
    <n v="9"/>
    <x v="6"/>
    <s v="2013"/>
    <n v="6.9999999999999993E-2"/>
  </r>
  <r>
    <x v="0"/>
    <x v="0"/>
    <x v="4"/>
    <x v="2"/>
    <n v="1582"/>
    <n v="250"/>
    <n v="7"/>
    <n v="11074"/>
    <n v="775.18"/>
    <n v="10298.82"/>
    <n v="7910"/>
    <n v="2388.8199999999997"/>
    <x v="2"/>
    <n v="12"/>
    <x v="2"/>
    <s v="2014"/>
    <n v="6.9999999999999993E-2"/>
  </r>
  <r>
    <x v="0"/>
    <x v="0"/>
    <x v="5"/>
    <x v="2"/>
    <n v="1135"/>
    <n v="260"/>
    <n v="7"/>
    <n v="7945"/>
    <n v="556.15"/>
    <n v="7388.85"/>
    <n v="5675"/>
    <n v="1713.8500000000004"/>
    <x v="1"/>
    <n v="6"/>
    <x v="1"/>
    <s v="2014"/>
    <n v="6.9999999999999993E-2"/>
  </r>
  <r>
    <x v="0"/>
    <x v="4"/>
    <x v="0"/>
    <x v="2"/>
    <n v="1761"/>
    <n v="3"/>
    <n v="350"/>
    <n v="616350"/>
    <n v="43144.5"/>
    <n v="573205.5"/>
    <n v="457860"/>
    <n v="115345.5"/>
    <x v="3"/>
    <n v="3"/>
    <x v="3"/>
    <s v="2014"/>
    <n v="7.0000000000000007E-2"/>
  </r>
  <r>
    <x v="4"/>
    <x v="2"/>
    <x v="0"/>
    <x v="2"/>
    <n v="448"/>
    <n v="3"/>
    <n v="300"/>
    <n v="134400"/>
    <n v="9408"/>
    <n v="124992"/>
    <n v="112000"/>
    <n v="12992"/>
    <x v="1"/>
    <n v="6"/>
    <x v="1"/>
    <s v="2014"/>
    <n v="7.0000000000000007E-2"/>
  </r>
  <r>
    <x v="4"/>
    <x v="2"/>
    <x v="0"/>
    <x v="2"/>
    <n v="2181"/>
    <n v="3"/>
    <n v="300"/>
    <n v="654300"/>
    <n v="45801"/>
    <n v="608499"/>
    <n v="545250"/>
    <n v="63249"/>
    <x v="10"/>
    <n v="10"/>
    <x v="7"/>
    <s v="2014"/>
    <n v="7.0000000000000007E-2"/>
  </r>
  <r>
    <x v="0"/>
    <x v="2"/>
    <x v="1"/>
    <x v="2"/>
    <n v="1976"/>
    <n v="5"/>
    <n v="20"/>
    <n v="39520"/>
    <n v="2766.4"/>
    <n v="36753.599999999999"/>
    <n v="19760"/>
    <n v="16993.599999999999"/>
    <x v="10"/>
    <n v="10"/>
    <x v="7"/>
    <s v="2014"/>
    <n v="7.0000000000000007E-2"/>
  </r>
  <r>
    <x v="4"/>
    <x v="2"/>
    <x v="1"/>
    <x v="2"/>
    <n v="2181"/>
    <n v="5"/>
    <n v="300"/>
    <n v="654300"/>
    <n v="45801"/>
    <n v="608499"/>
    <n v="545250"/>
    <n v="63249"/>
    <x v="10"/>
    <n v="10"/>
    <x v="7"/>
    <s v="2014"/>
    <n v="7.0000000000000007E-2"/>
  </r>
  <r>
    <x v="3"/>
    <x v="1"/>
    <x v="1"/>
    <x v="2"/>
    <n v="2500"/>
    <n v="5"/>
    <n v="125"/>
    <n v="312500"/>
    <n v="21875"/>
    <n v="290625"/>
    <n v="300000"/>
    <n v="-9375"/>
    <x v="11"/>
    <n v="11"/>
    <x v="9"/>
    <s v="2013"/>
    <n v="7.0000000000000007E-2"/>
  </r>
  <r>
    <x v="4"/>
    <x v="0"/>
    <x v="2"/>
    <x v="2"/>
    <n v="1702"/>
    <n v="10"/>
    <n v="300"/>
    <n v="510600"/>
    <n v="35742"/>
    <n v="474858"/>
    <n v="425500"/>
    <n v="49358"/>
    <x v="14"/>
    <n v="5"/>
    <x v="11"/>
    <s v="2014"/>
    <n v="7.0000000000000007E-2"/>
  </r>
  <r>
    <x v="4"/>
    <x v="2"/>
    <x v="2"/>
    <x v="2"/>
    <n v="448"/>
    <n v="10"/>
    <n v="300"/>
    <n v="134400"/>
    <n v="9408"/>
    <n v="124992"/>
    <n v="112000"/>
    <n v="12992"/>
    <x v="1"/>
    <n v="6"/>
    <x v="1"/>
    <s v="2014"/>
    <n v="7.0000000000000007E-2"/>
  </r>
  <r>
    <x v="3"/>
    <x v="1"/>
    <x v="2"/>
    <x v="2"/>
    <n v="3513"/>
    <n v="10"/>
    <n v="125"/>
    <n v="439125"/>
    <n v="30738.75"/>
    <n v="408386.25"/>
    <n v="421560"/>
    <n v="-13173.75"/>
    <x v="4"/>
    <n v="7"/>
    <x v="4"/>
    <s v="2014"/>
    <n v="7.0000000000000007E-2"/>
  </r>
  <r>
    <x v="1"/>
    <x v="2"/>
    <x v="2"/>
    <x v="2"/>
    <n v="2101"/>
    <n v="10"/>
    <n v="15"/>
    <n v="31515"/>
    <n v="2206.0500000000002"/>
    <n v="29308.95"/>
    <n v="21010"/>
    <n v="8298.9500000000007"/>
    <x v="5"/>
    <n v="8"/>
    <x v="5"/>
    <s v="2014"/>
    <n v="7.0000000000000007E-2"/>
  </r>
  <r>
    <x v="1"/>
    <x v="4"/>
    <x v="2"/>
    <x v="2"/>
    <n v="2931"/>
    <n v="10"/>
    <n v="15"/>
    <n v="43965"/>
    <n v="3077.55"/>
    <n v="40887.449999999997"/>
    <n v="29310"/>
    <n v="11577.449999999997"/>
    <x v="9"/>
    <n v="9"/>
    <x v="6"/>
    <s v="2013"/>
    <n v="7.0000000000000007E-2"/>
  </r>
  <r>
    <x v="0"/>
    <x v="2"/>
    <x v="2"/>
    <x v="2"/>
    <n v="1535"/>
    <n v="10"/>
    <n v="20"/>
    <n v="30700"/>
    <n v="2149"/>
    <n v="28551"/>
    <n v="15350"/>
    <n v="13201"/>
    <x v="6"/>
    <n v="9"/>
    <x v="6"/>
    <s v="2014"/>
    <n v="7.0000000000000007E-2"/>
  </r>
  <r>
    <x v="4"/>
    <x v="1"/>
    <x v="2"/>
    <x v="2"/>
    <n v="1123"/>
    <n v="10"/>
    <n v="300"/>
    <n v="336900"/>
    <n v="23583"/>
    <n v="313317"/>
    <n v="280750"/>
    <n v="32567"/>
    <x v="9"/>
    <n v="9"/>
    <x v="6"/>
    <s v="2013"/>
    <n v="7.0000000000000007E-2"/>
  </r>
  <r>
    <x v="4"/>
    <x v="0"/>
    <x v="2"/>
    <x v="2"/>
    <n v="1404"/>
    <n v="10"/>
    <n v="300"/>
    <n v="421200"/>
    <n v="29484"/>
    <n v="391716"/>
    <n v="351000"/>
    <n v="40716"/>
    <x v="11"/>
    <n v="11"/>
    <x v="9"/>
    <s v="2013"/>
    <n v="7.0000000000000007E-2"/>
  </r>
  <r>
    <x v="2"/>
    <x v="3"/>
    <x v="2"/>
    <x v="2"/>
    <n v="2763"/>
    <n v="10"/>
    <n v="12"/>
    <n v="33156"/>
    <n v="2320.92"/>
    <n v="30835.08"/>
    <n v="8289"/>
    <n v="22546.080000000002"/>
    <x v="11"/>
    <n v="11"/>
    <x v="9"/>
    <s v="2013"/>
    <n v="7.0000000000000007E-2"/>
  </r>
  <r>
    <x v="0"/>
    <x v="1"/>
    <x v="2"/>
    <x v="2"/>
    <n v="2125"/>
    <n v="10"/>
    <n v="7"/>
    <n v="14875"/>
    <n v="1041.25"/>
    <n v="13833.75"/>
    <n v="10625"/>
    <n v="3208.75"/>
    <x v="12"/>
    <n v="12"/>
    <x v="2"/>
    <s v="2013"/>
    <n v="7.0000000000000007E-2"/>
  </r>
  <r>
    <x v="4"/>
    <x v="2"/>
    <x v="3"/>
    <x v="2"/>
    <n v="1659"/>
    <n v="120"/>
    <n v="300"/>
    <n v="497700"/>
    <n v="34839"/>
    <n v="462861"/>
    <n v="414750"/>
    <n v="48111"/>
    <x v="4"/>
    <n v="7"/>
    <x v="4"/>
    <s v="2014"/>
    <n v="7.0000000000000007E-2"/>
  </r>
  <r>
    <x v="0"/>
    <x v="3"/>
    <x v="3"/>
    <x v="2"/>
    <n v="609"/>
    <n v="120"/>
    <n v="20"/>
    <n v="12180"/>
    <n v="852.6"/>
    <n v="11327.4"/>
    <n v="6090"/>
    <n v="5237.3999999999996"/>
    <x v="5"/>
    <n v="8"/>
    <x v="5"/>
    <s v="2014"/>
    <n v="7.0000000000000007E-2"/>
  </r>
  <r>
    <x v="3"/>
    <x v="1"/>
    <x v="3"/>
    <x v="2"/>
    <n v="2087"/>
    <n v="120"/>
    <n v="125"/>
    <n v="260875"/>
    <n v="18261.25"/>
    <n v="242613.75"/>
    <n v="250440"/>
    <n v="-7826.25"/>
    <x v="6"/>
    <n v="9"/>
    <x v="6"/>
    <s v="2014"/>
    <n v="7.0000000000000007E-2"/>
  </r>
  <r>
    <x v="0"/>
    <x v="2"/>
    <x v="3"/>
    <x v="2"/>
    <n v="1976"/>
    <n v="120"/>
    <n v="20"/>
    <n v="39520"/>
    <n v="2766.4"/>
    <n v="36753.599999999999"/>
    <n v="19760"/>
    <n v="16993.599999999999"/>
    <x v="10"/>
    <n v="10"/>
    <x v="7"/>
    <s v="2014"/>
    <n v="7.0000000000000007E-2"/>
  </r>
  <r>
    <x v="0"/>
    <x v="4"/>
    <x v="3"/>
    <x v="2"/>
    <n v="1421"/>
    <n v="120"/>
    <n v="20"/>
    <n v="28420"/>
    <n v="1989.4"/>
    <n v="26430.6"/>
    <n v="14210"/>
    <n v="12220.599999999999"/>
    <x v="12"/>
    <n v="12"/>
    <x v="2"/>
    <s v="2013"/>
    <n v="7.0000000000000007E-2"/>
  </r>
  <r>
    <x v="4"/>
    <x v="4"/>
    <x v="3"/>
    <x v="2"/>
    <n v="1372"/>
    <n v="120"/>
    <n v="300"/>
    <n v="411600"/>
    <n v="28812"/>
    <n v="382788"/>
    <n v="343000"/>
    <n v="39788"/>
    <x v="2"/>
    <n v="12"/>
    <x v="2"/>
    <s v="2014"/>
    <n v="7.0000000000000007E-2"/>
  </r>
  <r>
    <x v="0"/>
    <x v="1"/>
    <x v="3"/>
    <x v="2"/>
    <n v="588"/>
    <n v="120"/>
    <n v="20"/>
    <n v="11760"/>
    <n v="823.2"/>
    <n v="10936.8"/>
    <n v="5880"/>
    <n v="5056.7999999999993"/>
    <x v="12"/>
    <n v="12"/>
    <x v="2"/>
    <s v="2013"/>
    <n v="7.0000000000000007E-2"/>
  </r>
  <r>
    <x v="2"/>
    <x v="0"/>
    <x v="4"/>
    <x v="2"/>
    <n v="3244.5"/>
    <n v="250"/>
    <n v="12"/>
    <n v="38934"/>
    <n v="2725.38"/>
    <n v="36208.620000000003"/>
    <n v="9733.5"/>
    <n v="26475.120000000003"/>
    <x v="0"/>
    <n v="1"/>
    <x v="0"/>
    <s v="2014"/>
    <n v="7.0000000000000007E-2"/>
  </r>
  <r>
    <x v="4"/>
    <x v="2"/>
    <x v="4"/>
    <x v="2"/>
    <n v="959"/>
    <n v="250"/>
    <n v="300"/>
    <n v="287700"/>
    <n v="20139"/>
    <n v="267561"/>
    <n v="239750"/>
    <n v="27811"/>
    <x v="8"/>
    <n v="2"/>
    <x v="8"/>
    <s v="2014"/>
    <n v="7.0000000000000007E-2"/>
  </r>
  <r>
    <x v="4"/>
    <x v="3"/>
    <x v="4"/>
    <x v="2"/>
    <n v="2747"/>
    <n v="250"/>
    <n v="300"/>
    <n v="824100"/>
    <n v="57687"/>
    <n v="766413"/>
    <n v="686750"/>
    <n v="79663"/>
    <x v="8"/>
    <n v="2"/>
    <x v="8"/>
    <s v="2014"/>
    <n v="7.0000000000000007E-2"/>
  </r>
  <r>
    <x v="3"/>
    <x v="0"/>
    <x v="5"/>
    <x v="2"/>
    <n v="1645"/>
    <n v="260"/>
    <n v="125"/>
    <n v="205625"/>
    <n v="14393.75"/>
    <n v="191231.25"/>
    <n v="197400"/>
    <n v="-6168.75"/>
    <x v="14"/>
    <n v="5"/>
    <x v="11"/>
    <s v="2014"/>
    <n v="7.0000000000000007E-2"/>
  </r>
  <r>
    <x v="0"/>
    <x v="2"/>
    <x v="5"/>
    <x v="2"/>
    <n v="2876"/>
    <n v="260"/>
    <n v="350"/>
    <n v="1006600"/>
    <n v="70462"/>
    <n v="936138"/>
    <n v="747760"/>
    <n v="188378"/>
    <x v="6"/>
    <n v="9"/>
    <x v="6"/>
    <s v="2014"/>
    <n v="7.0000000000000007E-2"/>
  </r>
  <r>
    <x v="3"/>
    <x v="1"/>
    <x v="5"/>
    <x v="2"/>
    <n v="994"/>
    <n v="260"/>
    <n v="125"/>
    <n v="124250"/>
    <n v="8697.5"/>
    <n v="115552.5"/>
    <n v="119280"/>
    <n v="-3727.5"/>
    <x v="9"/>
    <n v="9"/>
    <x v="6"/>
    <s v="2013"/>
    <n v="7.0000000000000007E-2"/>
  </r>
  <r>
    <x v="0"/>
    <x v="0"/>
    <x v="5"/>
    <x v="2"/>
    <n v="1118"/>
    <n v="260"/>
    <n v="20"/>
    <n v="22360"/>
    <n v="1565.2"/>
    <n v="20794.8"/>
    <n v="11180"/>
    <n v="9614.7999999999993"/>
    <x v="15"/>
    <n v="11"/>
    <x v="9"/>
    <s v="2014"/>
    <n v="7.0000000000000007E-2"/>
  </r>
  <r>
    <x v="4"/>
    <x v="4"/>
    <x v="5"/>
    <x v="2"/>
    <n v="1372"/>
    <n v="260"/>
    <n v="300"/>
    <n v="411600"/>
    <n v="28812"/>
    <n v="382788"/>
    <n v="343000"/>
    <n v="39788"/>
    <x v="2"/>
    <n v="12"/>
    <x v="2"/>
    <s v="2014"/>
    <n v="7.0000000000000007E-2"/>
  </r>
  <r>
    <x v="0"/>
    <x v="0"/>
    <x v="1"/>
    <x v="2"/>
    <n v="488"/>
    <n v="5"/>
    <n v="7"/>
    <n v="3416"/>
    <n v="273.27999999999997"/>
    <n v="3142.7200000000003"/>
    <n v="2440"/>
    <n v="702.72000000000025"/>
    <x v="8"/>
    <n v="2"/>
    <x v="8"/>
    <s v="2014"/>
    <n v="7.9999999999999988E-2"/>
  </r>
  <r>
    <x v="0"/>
    <x v="4"/>
    <x v="1"/>
    <x v="2"/>
    <n v="1282"/>
    <n v="5"/>
    <n v="20"/>
    <n v="25640"/>
    <n v="2051.1999999999998"/>
    <n v="23588.799999999999"/>
    <n v="12820"/>
    <n v="10768.8"/>
    <x v="1"/>
    <n v="6"/>
    <x v="1"/>
    <s v="2014"/>
    <n v="7.9999999999999988E-2"/>
  </r>
  <r>
    <x v="0"/>
    <x v="0"/>
    <x v="2"/>
    <x v="2"/>
    <n v="257"/>
    <n v="10"/>
    <n v="7"/>
    <n v="1799"/>
    <n v="143.91999999999999"/>
    <n v="1655.08"/>
    <n v="1285"/>
    <n v="370.07999999999993"/>
    <x v="14"/>
    <n v="5"/>
    <x v="11"/>
    <s v="2014"/>
    <n v="7.9999999999999988E-2"/>
  </r>
  <r>
    <x v="0"/>
    <x v="4"/>
    <x v="5"/>
    <x v="2"/>
    <n v="1282"/>
    <n v="260"/>
    <n v="20"/>
    <n v="25640"/>
    <n v="2051.1999999999998"/>
    <n v="23588.799999999999"/>
    <n v="12820"/>
    <n v="10768.8"/>
    <x v="1"/>
    <n v="6"/>
    <x v="1"/>
    <s v="2014"/>
    <n v="7.9999999999999988E-2"/>
  </r>
  <r>
    <x v="3"/>
    <x v="3"/>
    <x v="0"/>
    <x v="2"/>
    <n v="1540"/>
    <n v="3"/>
    <n v="125"/>
    <n v="192500"/>
    <n v="15400"/>
    <n v="177100"/>
    <n v="184800"/>
    <n v="-7700"/>
    <x v="5"/>
    <n v="8"/>
    <x v="5"/>
    <s v="2014"/>
    <n v="0.08"/>
  </r>
  <r>
    <x v="1"/>
    <x v="2"/>
    <x v="0"/>
    <x v="2"/>
    <n v="490"/>
    <n v="3"/>
    <n v="15"/>
    <n v="7350"/>
    <n v="588"/>
    <n v="6762"/>
    <n v="4900"/>
    <n v="1862"/>
    <x v="15"/>
    <n v="11"/>
    <x v="9"/>
    <s v="2014"/>
    <n v="0.08"/>
  </r>
  <r>
    <x v="0"/>
    <x v="3"/>
    <x v="0"/>
    <x v="2"/>
    <n v="1362"/>
    <n v="3"/>
    <n v="350"/>
    <n v="476700"/>
    <n v="38136"/>
    <n v="438564"/>
    <n v="354120"/>
    <n v="84444"/>
    <x v="2"/>
    <n v="12"/>
    <x v="2"/>
    <s v="2014"/>
    <n v="0.08"/>
  </r>
  <r>
    <x v="1"/>
    <x v="2"/>
    <x v="1"/>
    <x v="2"/>
    <n v="2501"/>
    <n v="5"/>
    <n v="15"/>
    <n v="37515"/>
    <n v="3001.2"/>
    <n v="34513.800000000003"/>
    <n v="25010"/>
    <n v="9503.8000000000029"/>
    <x v="3"/>
    <n v="3"/>
    <x v="3"/>
    <s v="2014"/>
    <n v="0.08"/>
  </r>
  <r>
    <x v="0"/>
    <x v="0"/>
    <x v="1"/>
    <x v="2"/>
    <n v="708"/>
    <n v="5"/>
    <n v="20"/>
    <n v="14160"/>
    <n v="1132.8"/>
    <n v="13027.2"/>
    <n v="7080"/>
    <n v="5947.2000000000007"/>
    <x v="1"/>
    <n v="6"/>
    <x v="1"/>
    <s v="2014"/>
    <n v="0.08"/>
  </r>
  <r>
    <x v="0"/>
    <x v="1"/>
    <x v="1"/>
    <x v="2"/>
    <n v="645"/>
    <n v="5"/>
    <n v="20"/>
    <n v="12900"/>
    <n v="1032"/>
    <n v="11868"/>
    <n v="6450"/>
    <n v="5418"/>
    <x v="4"/>
    <n v="7"/>
    <x v="4"/>
    <s v="2014"/>
    <n v="0.08"/>
  </r>
  <r>
    <x v="4"/>
    <x v="2"/>
    <x v="1"/>
    <x v="2"/>
    <n v="1562"/>
    <n v="5"/>
    <n v="300"/>
    <n v="468600"/>
    <n v="37488"/>
    <n v="431112"/>
    <n v="390500"/>
    <n v="40612"/>
    <x v="5"/>
    <n v="8"/>
    <x v="5"/>
    <s v="2014"/>
    <n v="0.08"/>
  </r>
  <r>
    <x v="4"/>
    <x v="0"/>
    <x v="1"/>
    <x v="2"/>
    <n v="1283"/>
    <n v="5"/>
    <n v="300"/>
    <n v="384900"/>
    <n v="30792"/>
    <n v="354108"/>
    <n v="320750"/>
    <n v="33358"/>
    <x v="9"/>
    <n v="9"/>
    <x v="6"/>
    <s v="2013"/>
    <n v="0.08"/>
  </r>
  <r>
    <x v="1"/>
    <x v="1"/>
    <x v="1"/>
    <x v="2"/>
    <n v="711"/>
    <n v="5"/>
    <n v="15"/>
    <n v="10665"/>
    <n v="853.2"/>
    <n v="9811.7999999999993"/>
    <n v="7110"/>
    <n v="2701.7999999999993"/>
    <x v="2"/>
    <n v="12"/>
    <x v="2"/>
    <s v="2014"/>
    <n v="0.08"/>
  </r>
  <r>
    <x v="3"/>
    <x v="3"/>
    <x v="2"/>
    <x v="2"/>
    <n v="1114"/>
    <n v="10"/>
    <n v="125"/>
    <n v="139250"/>
    <n v="11140"/>
    <n v="128110"/>
    <n v="133680"/>
    <n v="-5570"/>
    <x v="3"/>
    <n v="3"/>
    <x v="3"/>
    <s v="2014"/>
    <n v="0.08"/>
  </r>
  <r>
    <x v="0"/>
    <x v="1"/>
    <x v="2"/>
    <x v="2"/>
    <n v="1259"/>
    <n v="10"/>
    <n v="7"/>
    <n v="8813"/>
    <n v="705.04"/>
    <n v="8107.96"/>
    <n v="6295"/>
    <n v="1812.96"/>
    <x v="13"/>
    <n v="4"/>
    <x v="10"/>
    <s v="2014"/>
    <n v="0.08"/>
  </r>
  <r>
    <x v="0"/>
    <x v="1"/>
    <x v="2"/>
    <x v="2"/>
    <n v="1095"/>
    <n v="10"/>
    <n v="7"/>
    <n v="7665"/>
    <n v="613.20000000000005"/>
    <n v="7051.8"/>
    <n v="5475"/>
    <n v="1576.8000000000002"/>
    <x v="14"/>
    <n v="5"/>
    <x v="11"/>
    <s v="2014"/>
    <n v="0.08"/>
  </r>
  <r>
    <x v="0"/>
    <x v="1"/>
    <x v="2"/>
    <x v="2"/>
    <n v="1366"/>
    <n v="10"/>
    <n v="20"/>
    <n v="27320"/>
    <n v="2185.6"/>
    <n v="25134.400000000001"/>
    <n v="13660"/>
    <n v="11474.400000000001"/>
    <x v="1"/>
    <n v="6"/>
    <x v="1"/>
    <s v="2014"/>
    <n v="0.08"/>
  </r>
  <r>
    <x v="4"/>
    <x v="3"/>
    <x v="2"/>
    <x v="2"/>
    <n v="2460"/>
    <n v="10"/>
    <n v="300"/>
    <n v="738000"/>
    <n v="59040"/>
    <n v="678960"/>
    <n v="615000"/>
    <n v="63960"/>
    <x v="1"/>
    <n v="6"/>
    <x v="1"/>
    <s v="2014"/>
    <n v="0.08"/>
  </r>
  <r>
    <x v="0"/>
    <x v="4"/>
    <x v="2"/>
    <x v="2"/>
    <n v="678"/>
    <n v="10"/>
    <n v="7"/>
    <n v="4746"/>
    <n v="379.68"/>
    <n v="4366.32"/>
    <n v="3390"/>
    <n v="976.31999999999971"/>
    <x v="5"/>
    <n v="8"/>
    <x v="5"/>
    <s v="2014"/>
    <n v="0.08"/>
  </r>
  <r>
    <x v="0"/>
    <x v="1"/>
    <x v="2"/>
    <x v="2"/>
    <n v="1598"/>
    <n v="10"/>
    <n v="7"/>
    <n v="11186"/>
    <n v="894.88"/>
    <n v="10291.120000000001"/>
    <n v="7990"/>
    <n v="2301.1200000000008"/>
    <x v="5"/>
    <n v="8"/>
    <x v="5"/>
    <s v="2014"/>
    <n v="0.08"/>
  </r>
  <r>
    <x v="0"/>
    <x v="1"/>
    <x v="2"/>
    <x v="2"/>
    <n v="2409"/>
    <n v="10"/>
    <n v="7"/>
    <n v="16863"/>
    <n v="1349.04"/>
    <n v="15513.96"/>
    <n v="12045"/>
    <n v="3468.9599999999991"/>
    <x v="9"/>
    <n v="9"/>
    <x v="6"/>
    <s v="2013"/>
    <n v="0.08"/>
  </r>
  <r>
    <x v="0"/>
    <x v="1"/>
    <x v="2"/>
    <x v="2"/>
    <n v="1934"/>
    <n v="10"/>
    <n v="20"/>
    <n v="38680"/>
    <n v="3094.4"/>
    <n v="35585.599999999999"/>
    <n v="19340"/>
    <n v="16245.599999999999"/>
    <x v="6"/>
    <n v="9"/>
    <x v="6"/>
    <s v="2014"/>
    <n v="0.08"/>
  </r>
  <r>
    <x v="0"/>
    <x v="3"/>
    <x v="2"/>
    <x v="2"/>
    <n v="2993"/>
    <n v="10"/>
    <n v="20"/>
    <n v="59860"/>
    <n v="4788.8"/>
    <n v="55071.199999999997"/>
    <n v="29930"/>
    <n v="25141.199999999997"/>
    <x v="6"/>
    <n v="9"/>
    <x v="6"/>
    <s v="2014"/>
    <n v="0.08"/>
  </r>
  <r>
    <x v="0"/>
    <x v="1"/>
    <x v="2"/>
    <x v="2"/>
    <n v="2146"/>
    <n v="10"/>
    <n v="350"/>
    <n v="751100"/>
    <n v="60088"/>
    <n v="691012"/>
    <n v="557960"/>
    <n v="133052"/>
    <x v="11"/>
    <n v="11"/>
    <x v="9"/>
    <s v="2013"/>
    <n v="0.08"/>
  </r>
  <r>
    <x v="0"/>
    <x v="3"/>
    <x v="2"/>
    <x v="2"/>
    <n v="1946"/>
    <n v="10"/>
    <n v="7"/>
    <n v="13622"/>
    <n v="1089.76"/>
    <n v="12532.24"/>
    <n v="9730"/>
    <n v="2802.24"/>
    <x v="12"/>
    <n v="12"/>
    <x v="2"/>
    <s v="2013"/>
    <n v="0.08"/>
  </r>
  <r>
    <x v="0"/>
    <x v="3"/>
    <x v="2"/>
    <x v="2"/>
    <n v="1362"/>
    <n v="10"/>
    <n v="350"/>
    <n v="476700"/>
    <n v="38136"/>
    <n v="438564"/>
    <n v="354120"/>
    <n v="84444"/>
    <x v="2"/>
    <n v="12"/>
    <x v="2"/>
    <s v="2014"/>
    <n v="0.08"/>
  </r>
  <r>
    <x v="2"/>
    <x v="0"/>
    <x v="3"/>
    <x v="2"/>
    <n v="598"/>
    <n v="120"/>
    <n v="12"/>
    <n v="7176"/>
    <n v="574.08000000000004"/>
    <n v="6601.92"/>
    <n v="1794"/>
    <n v="4807.92"/>
    <x v="3"/>
    <n v="3"/>
    <x v="3"/>
    <s v="2014"/>
    <n v="0.08"/>
  </r>
  <r>
    <x v="0"/>
    <x v="4"/>
    <x v="3"/>
    <x v="2"/>
    <n v="2907"/>
    <n v="120"/>
    <n v="7"/>
    <n v="20349"/>
    <n v="1627.92"/>
    <n v="18721.080000000002"/>
    <n v="14535"/>
    <n v="4186.0800000000017"/>
    <x v="1"/>
    <n v="6"/>
    <x v="1"/>
    <s v="2014"/>
    <n v="0.08"/>
  </r>
  <r>
    <x v="0"/>
    <x v="1"/>
    <x v="3"/>
    <x v="2"/>
    <n v="2338"/>
    <n v="120"/>
    <n v="7"/>
    <n v="16366"/>
    <n v="1309.28"/>
    <n v="15056.72"/>
    <n v="11690"/>
    <n v="3366.7199999999993"/>
    <x v="1"/>
    <n v="6"/>
    <x v="1"/>
    <s v="2014"/>
    <n v="0.08"/>
  </r>
  <r>
    <x v="4"/>
    <x v="2"/>
    <x v="3"/>
    <x v="2"/>
    <n v="386"/>
    <n v="120"/>
    <n v="300"/>
    <n v="115800"/>
    <n v="9264"/>
    <n v="106536"/>
    <n v="96500"/>
    <n v="10036"/>
    <x v="11"/>
    <n v="11"/>
    <x v="9"/>
    <s v="2013"/>
    <n v="0.08"/>
  </r>
  <r>
    <x v="4"/>
    <x v="3"/>
    <x v="3"/>
    <x v="2"/>
    <n v="635"/>
    <n v="120"/>
    <n v="300"/>
    <n v="190500"/>
    <n v="15240"/>
    <n v="175260"/>
    <n v="158750"/>
    <n v="16510"/>
    <x v="2"/>
    <n v="12"/>
    <x v="2"/>
    <s v="2014"/>
    <n v="0.08"/>
  </r>
  <r>
    <x v="0"/>
    <x v="2"/>
    <x v="4"/>
    <x v="2"/>
    <n v="574.5"/>
    <n v="250"/>
    <n v="350"/>
    <n v="201075"/>
    <n v="16086"/>
    <n v="184989"/>
    <n v="149370"/>
    <n v="35619"/>
    <x v="13"/>
    <n v="4"/>
    <x v="10"/>
    <s v="2014"/>
    <n v="0.08"/>
  </r>
  <r>
    <x v="0"/>
    <x v="1"/>
    <x v="4"/>
    <x v="2"/>
    <n v="2338"/>
    <n v="250"/>
    <n v="7"/>
    <n v="16366"/>
    <n v="1309.28"/>
    <n v="15056.72"/>
    <n v="11690"/>
    <n v="3366.7199999999993"/>
    <x v="1"/>
    <n v="6"/>
    <x v="1"/>
    <s v="2014"/>
    <n v="0.08"/>
  </r>
  <r>
    <x v="0"/>
    <x v="2"/>
    <x v="4"/>
    <x v="2"/>
    <n v="381"/>
    <n v="250"/>
    <n v="350"/>
    <n v="133350"/>
    <n v="10668"/>
    <n v="122682"/>
    <n v="99060"/>
    <n v="23622"/>
    <x v="5"/>
    <n v="8"/>
    <x v="5"/>
    <s v="2014"/>
    <n v="0.08"/>
  </r>
  <r>
    <x v="0"/>
    <x v="1"/>
    <x v="4"/>
    <x v="2"/>
    <n v="422"/>
    <n v="250"/>
    <n v="350"/>
    <n v="147700"/>
    <n v="11816"/>
    <n v="135884"/>
    <n v="109720"/>
    <n v="26164"/>
    <x v="5"/>
    <n v="8"/>
    <x v="5"/>
    <s v="2014"/>
    <n v="0.08"/>
  </r>
  <r>
    <x v="4"/>
    <x v="0"/>
    <x v="4"/>
    <x v="2"/>
    <n v="2134"/>
    <n v="250"/>
    <n v="300"/>
    <n v="640200"/>
    <n v="51216"/>
    <n v="588984"/>
    <n v="533500"/>
    <n v="55484"/>
    <x v="6"/>
    <n v="9"/>
    <x v="6"/>
    <s v="2014"/>
    <n v="0.08"/>
  </r>
  <r>
    <x v="4"/>
    <x v="4"/>
    <x v="4"/>
    <x v="2"/>
    <n v="808"/>
    <n v="250"/>
    <n v="300"/>
    <n v="242400"/>
    <n v="19392"/>
    <n v="223008"/>
    <n v="202000"/>
    <n v="21008"/>
    <x v="12"/>
    <n v="12"/>
    <x v="2"/>
    <s v="2013"/>
    <n v="0.08"/>
  </r>
  <r>
    <x v="0"/>
    <x v="0"/>
    <x v="5"/>
    <x v="2"/>
    <n v="708"/>
    <n v="260"/>
    <n v="20"/>
    <n v="14160"/>
    <n v="1132.8"/>
    <n v="13027.2"/>
    <n v="7080"/>
    <n v="5947.2000000000007"/>
    <x v="1"/>
    <n v="6"/>
    <x v="1"/>
    <s v="2014"/>
    <n v="0.08"/>
  </r>
  <r>
    <x v="0"/>
    <x v="4"/>
    <x v="5"/>
    <x v="2"/>
    <n v="2907"/>
    <n v="260"/>
    <n v="7"/>
    <n v="20349"/>
    <n v="1627.92"/>
    <n v="18721.080000000002"/>
    <n v="14535"/>
    <n v="4186.0800000000017"/>
    <x v="1"/>
    <n v="6"/>
    <x v="1"/>
    <s v="2014"/>
    <n v="0.08"/>
  </r>
  <r>
    <x v="0"/>
    <x v="1"/>
    <x v="5"/>
    <x v="2"/>
    <n v="1366"/>
    <n v="260"/>
    <n v="20"/>
    <n v="27320"/>
    <n v="2185.6"/>
    <n v="25134.400000000001"/>
    <n v="13660"/>
    <n v="11474.400000000001"/>
    <x v="1"/>
    <n v="6"/>
    <x v="1"/>
    <s v="2014"/>
    <n v="0.08"/>
  </r>
  <r>
    <x v="4"/>
    <x v="3"/>
    <x v="5"/>
    <x v="2"/>
    <n v="2460"/>
    <n v="260"/>
    <n v="300"/>
    <n v="738000"/>
    <n v="59040"/>
    <n v="678960"/>
    <n v="615000"/>
    <n v="63960"/>
    <x v="1"/>
    <n v="6"/>
    <x v="1"/>
    <s v="2014"/>
    <n v="0.08"/>
  </r>
  <r>
    <x v="0"/>
    <x v="1"/>
    <x v="5"/>
    <x v="2"/>
    <n v="1520"/>
    <n v="260"/>
    <n v="20"/>
    <n v="30400"/>
    <n v="2432"/>
    <n v="27968"/>
    <n v="15200"/>
    <n v="12768"/>
    <x v="15"/>
    <n v="11"/>
    <x v="9"/>
    <s v="2014"/>
    <n v="0.08"/>
  </r>
  <r>
    <x v="1"/>
    <x v="1"/>
    <x v="5"/>
    <x v="2"/>
    <n v="711"/>
    <n v="260"/>
    <n v="15"/>
    <n v="10665"/>
    <n v="853.2"/>
    <n v="9811.7999999999993"/>
    <n v="7110"/>
    <n v="2701.7999999999993"/>
    <x v="2"/>
    <n v="12"/>
    <x v="2"/>
    <s v="2014"/>
    <n v="0.08"/>
  </r>
  <r>
    <x v="2"/>
    <x v="3"/>
    <x v="5"/>
    <x v="2"/>
    <n v="1375"/>
    <n v="260"/>
    <n v="12"/>
    <n v="16500"/>
    <n v="1320"/>
    <n v="15180"/>
    <n v="4125"/>
    <n v="11055"/>
    <x v="12"/>
    <n v="12"/>
    <x v="2"/>
    <s v="2013"/>
    <n v="0.08"/>
  </r>
  <r>
    <x v="4"/>
    <x v="3"/>
    <x v="5"/>
    <x v="2"/>
    <n v="635"/>
    <n v="260"/>
    <n v="300"/>
    <n v="190500"/>
    <n v="15240"/>
    <n v="175260"/>
    <n v="158750"/>
    <n v="16510"/>
    <x v="2"/>
    <n v="12"/>
    <x v="2"/>
    <s v="2014"/>
    <n v="0.08"/>
  </r>
  <r>
    <x v="0"/>
    <x v="4"/>
    <x v="4"/>
    <x v="2"/>
    <n v="436.5"/>
    <n v="250"/>
    <n v="20"/>
    <n v="8730"/>
    <n v="698.40000000000009"/>
    <n v="8031.5999999999995"/>
    <n v="4365"/>
    <n v="3666.5999999999995"/>
    <x v="4"/>
    <n v="7"/>
    <x v="4"/>
    <s v="2014"/>
    <n v="8.0000000000000016E-2"/>
  </r>
  <r>
    <x v="4"/>
    <x v="0"/>
    <x v="0"/>
    <x v="2"/>
    <n v="1094"/>
    <n v="3"/>
    <n v="300"/>
    <n v="328200"/>
    <n v="29538"/>
    <n v="298662"/>
    <n v="273500"/>
    <n v="25162"/>
    <x v="1"/>
    <n v="6"/>
    <x v="1"/>
    <s v="2014"/>
    <n v="0.09"/>
  </r>
  <r>
    <x v="2"/>
    <x v="3"/>
    <x v="0"/>
    <x v="2"/>
    <n v="367"/>
    <n v="3"/>
    <n v="12"/>
    <n v="4404"/>
    <n v="396.36"/>
    <n v="4007.64"/>
    <n v="1101"/>
    <n v="2906.64"/>
    <x v="7"/>
    <n v="10"/>
    <x v="7"/>
    <s v="2013"/>
    <n v="0.09"/>
  </r>
  <r>
    <x v="4"/>
    <x v="0"/>
    <x v="1"/>
    <x v="2"/>
    <n v="3802.5"/>
    <n v="5"/>
    <n v="300"/>
    <n v="1140750"/>
    <n v="102667.5"/>
    <n v="1038082.5"/>
    <n v="950625"/>
    <n v="87457.5"/>
    <x v="13"/>
    <n v="4"/>
    <x v="10"/>
    <s v="2014"/>
    <n v="0.09"/>
  </r>
  <r>
    <x v="0"/>
    <x v="2"/>
    <x v="1"/>
    <x v="2"/>
    <n v="1666"/>
    <n v="5"/>
    <n v="350"/>
    <n v="583100"/>
    <n v="52479"/>
    <n v="530621"/>
    <n v="433160"/>
    <n v="97461"/>
    <x v="14"/>
    <n v="5"/>
    <x v="11"/>
    <s v="2014"/>
    <n v="0.09"/>
  </r>
  <r>
    <x v="4"/>
    <x v="2"/>
    <x v="1"/>
    <x v="2"/>
    <n v="322"/>
    <n v="5"/>
    <n v="300"/>
    <n v="96600"/>
    <n v="8694"/>
    <n v="87906"/>
    <n v="80500"/>
    <n v="7406"/>
    <x v="9"/>
    <n v="9"/>
    <x v="6"/>
    <s v="2013"/>
    <n v="0.09"/>
  </r>
  <r>
    <x v="2"/>
    <x v="0"/>
    <x v="1"/>
    <x v="2"/>
    <n v="2321"/>
    <n v="5"/>
    <n v="12"/>
    <n v="27852"/>
    <n v="2506.6799999999998"/>
    <n v="25345.32"/>
    <n v="6963"/>
    <n v="18382.32"/>
    <x v="15"/>
    <n v="11"/>
    <x v="9"/>
    <s v="2014"/>
    <n v="0.09"/>
  </r>
  <r>
    <x v="3"/>
    <x v="2"/>
    <x v="1"/>
    <x v="2"/>
    <n v="1857"/>
    <n v="5"/>
    <n v="125"/>
    <n v="232125"/>
    <n v="20891.25"/>
    <n v="211233.75"/>
    <n v="222840"/>
    <n v="-11606.25"/>
    <x v="11"/>
    <n v="11"/>
    <x v="9"/>
    <s v="2013"/>
    <n v="0.09"/>
  </r>
  <r>
    <x v="0"/>
    <x v="0"/>
    <x v="1"/>
    <x v="2"/>
    <n v="1611"/>
    <n v="5"/>
    <n v="7"/>
    <n v="11277"/>
    <n v="1014.93"/>
    <n v="10262.07"/>
    <n v="8055"/>
    <n v="2207.0699999999997"/>
    <x v="12"/>
    <n v="12"/>
    <x v="2"/>
    <s v="2013"/>
    <n v="0.09"/>
  </r>
  <r>
    <x v="3"/>
    <x v="4"/>
    <x v="1"/>
    <x v="2"/>
    <n v="2797"/>
    <n v="5"/>
    <n v="125"/>
    <n v="349625"/>
    <n v="31466.25"/>
    <n v="318158.75"/>
    <n v="335640"/>
    <n v="-17481.25"/>
    <x v="2"/>
    <n v="12"/>
    <x v="2"/>
    <s v="2014"/>
    <n v="0.09"/>
  </r>
  <r>
    <x v="4"/>
    <x v="1"/>
    <x v="1"/>
    <x v="2"/>
    <n v="334"/>
    <n v="5"/>
    <n v="300"/>
    <n v="100200"/>
    <n v="9018"/>
    <n v="91182"/>
    <n v="83500"/>
    <n v="7682"/>
    <x v="12"/>
    <n v="12"/>
    <x v="2"/>
    <s v="2013"/>
    <n v="0.09"/>
  </r>
  <r>
    <x v="4"/>
    <x v="3"/>
    <x v="2"/>
    <x v="2"/>
    <n v="2565"/>
    <n v="10"/>
    <n v="300"/>
    <n v="769500"/>
    <n v="69255"/>
    <n v="700245"/>
    <n v="641250"/>
    <n v="58995"/>
    <x v="0"/>
    <n v="1"/>
    <x v="0"/>
    <s v="2014"/>
    <n v="0.09"/>
  </r>
  <r>
    <x v="0"/>
    <x v="3"/>
    <x v="2"/>
    <x v="2"/>
    <n v="2417"/>
    <n v="10"/>
    <n v="350"/>
    <n v="845950"/>
    <n v="76135.5"/>
    <n v="769814.5"/>
    <n v="628420"/>
    <n v="141394.5"/>
    <x v="0"/>
    <n v="1"/>
    <x v="0"/>
    <s v="2014"/>
    <n v="0.09"/>
  </r>
  <r>
    <x v="1"/>
    <x v="4"/>
    <x v="2"/>
    <x v="2"/>
    <n v="3675"/>
    <n v="10"/>
    <n v="15"/>
    <n v="55125"/>
    <n v="4961.25"/>
    <n v="50163.75"/>
    <n v="36750"/>
    <n v="13413.75"/>
    <x v="13"/>
    <n v="4"/>
    <x v="10"/>
    <s v="2014"/>
    <n v="0.09"/>
  </r>
  <r>
    <x v="4"/>
    <x v="0"/>
    <x v="2"/>
    <x v="2"/>
    <n v="1094"/>
    <n v="10"/>
    <n v="300"/>
    <n v="328200"/>
    <n v="29538"/>
    <n v="298662"/>
    <n v="273500"/>
    <n v="25162"/>
    <x v="1"/>
    <n v="6"/>
    <x v="1"/>
    <s v="2014"/>
    <n v="0.09"/>
  </r>
  <r>
    <x v="1"/>
    <x v="2"/>
    <x v="2"/>
    <x v="2"/>
    <n v="1227"/>
    <n v="10"/>
    <n v="15"/>
    <n v="18405"/>
    <n v="1656.45"/>
    <n v="16748.55"/>
    <n v="12270"/>
    <n v="4478.5499999999993"/>
    <x v="10"/>
    <n v="10"/>
    <x v="7"/>
    <s v="2014"/>
    <n v="0.09"/>
  </r>
  <r>
    <x v="2"/>
    <x v="3"/>
    <x v="2"/>
    <x v="2"/>
    <n v="367"/>
    <n v="10"/>
    <n v="12"/>
    <n v="4404"/>
    <n v="396.36"/>
    <n v="4007.64"/>
    <n v="1101"/>
    <n v="2906.64"/>
    <x v="7"/>
    <n v="10"/>
    <x v="7"/>
    <s v="2013"/>
    <n v="0.09"/>
  </r>
  <r>
    <x v="4"/>
    <x v="2"/>
    <x v="2"/>
    <x v="2"/>
    <n v="1324"/>
    <n v="10"/>
    <n v="300"/>
    <n v="397200"/>
    <n v="35748"/>
    <n v="361452"/>
    <n v="331000"/>
    <n v="30452"/>
    <x v="15"/>
    <n v="11"/>
    <x v="9"/>
    <s v="2014"/>
    <n v="0.09"/>
  </r>
  <r>
    <x v="2"/>
    <x v="1"/>
    <x v="2"/>
    <x v="2"/>
    <n v="1775"/>
    <n v="10"/>
    <n v="12"/>
    <n v="21300"/>
    <n v="1917"/>
    <n v="19383"/>
    <n v="5325"/>
    <n v="14058"/>
    <x v="11"/>
    <n v="11"/>
    <x v="9"/>
    <s v="2013"/>
    <n v="0.09"/>
  </r>
  <r>
    <x v="3"/>
    <x v="4"/>
    <x v="2"/>
    <x v="2"/>
    <n v="2797"/>
    <n v="10"/>
    <n v="125"/>
    <n v="349625"/>
    <n v="31466.25"/>
    <n v="318158.75"/>
    <n v="335640"/>
    <n v="-17481.25"/>
    <x v="2"/>
    <n v="12"/>
    <x v="2"/>
    <s v="2014"/>
    <n v="0.09"/>
  </r>
  <r>
    <x v="1"/>
    <x v="3"/>
    <x v="3"/>
    <x v="2"/>
    <n v="245"/>
    <n v="120"/>
    <n v="15"/>
    <n v="3675"/>
    <n v="330.75"/>
    <n v="3344.25"/>
    <n v="2450"/>
    <n v="894.25"/>
    <x v="14"/>
    <n v="5"/>
    <x v="11"/>
    <s v="2014"/>
    <n v="0.09"/>
  </r>
  <r>
    <x v="4"/>
    <x v="0"/>
    <x v="3"/>
    <x v="2"/>
    <n v="3793.5"/>
    <n v="120"/>
    <n v="300"/>
    <n v="1138050"/>
    <n v="102424.5"/>
    <n v="1035625.5"/>
    <n v="948375"/>
    <n v="87250.5"/>
    <x v="4"/>
    <n v="7"/>
    <x v="4"/>
    <s v="2014"/>
    <n v="0.09"/>
  </r>
  <r>
    <x v="0"/>
    <x v="1"/>
    <x v="3"/>
    <x v="2"/>
    <n v="1307"/>
    <n v="120"/>
    <n v="350"/>
    <n v="457450"/>
    <n v="41170.5"/>
    <n v="416279.5"/>
    <n v="339820"/>
    <n v="76459.5"/>
    <x v="4"/>
    <n v="7"/>
    <x v="4"/>
    <s v="2014"/>
    <n v="0.09"/>
  </r>
  <r>
    <x v="3"/>
    <x v="0"/>
    <x v="3"/>
    <x v="2"/>
    <n v="567"/>
    <n v="120"/>
    <n v="125"/>
    <n v="70875"/>
    <n v="6378.75"/>
    <n v="64496.25"/>
    <n v="68040"/>
    <n v="-3543.75"/>
    <x v="6"/>
    <n v="9"/>
    <x v="6"/>
    <s v="2014"/>
    <n v="0.09"/>
  </r>
  <r>
    <x v="3"/>
    <x v="3"/>
    <x v="3"/>
    <x v="2"/>
    <n v="2110"/>
    <n v="120"/>
    <n v="125"/>
    <n v="263750"/>
    <n v="23737.5"/>
    <n v="240012.5"/>
    <n v="253200"/>
    <n v="-13187.5"/>
    <x v="6"/>
    <n v="9"/>
    <x v="6"/>
    <s v="2014"/>
    <n v="0.09"/>
  </r>
  <r>
    <x v="0"/>
    <x v="0"/>
    <x v="3"/>
    <x v="2"/>
    <n v="1269"/>
    <n v="120"/>
    <n v="350"/>
    <n v="444150"/>
    <n v="39973.5"/>
    <n v="404176.5"/>
    <n v="329940"/>
    <n v="74236.5"/>
    <x v="10"/>
    <n v="10"/>
    <x v="7"/>
    <s v="2014"/>
    <n v="0.09"/>
  </r>
  <r>
    <x v="2"/>
    <x v="4"/>
    <x v="4"/>
    <x v="2"/>
    <n v="1956"/>
    <n v="250"/>
    <n v="12"/>
    <n v="23472"/>
    <n v="2112.48"/>
    <n v="21359.52"/>
    <n v="5868"/>
    <n v="15491.52"/>
    <x v="0"/>
    <n v="1"/>
    <x v="0"/>
    <s v="2014"/>
    <n v="0.09"/>
  </r>
  <r>
    <x v="4"/>
    <x v="1"/>
    <x v="4"/>
    <x v="2"/>
    <n v="2659"/>
    <n v="250"/>
    <n v="300"/>
    <n v="797700"/>
    <n v="71793"/>
    <n v="725907"/>
    <n v="664750"/>
    <n v="61157"/>
    <x v="8"/>
    <n v="2"/>
    <x v="8"/>
    <s v="2014"/>
    <n v="0.09"/>
  </r>
  <r>
    <x v="0"/>
    <x v="4"/>
    <x v="4"/>
    <x v="2"/>
    <n v="1351.5"/>
    <n v="250"/>
    <n v="350"/>
    <n v="473025"/>
    <n v="42572.25"/>
    <n v="430452.75"/>
    <n v="351390"/>
    <n v="79062.75"/>
    <x v="13"/>
    <n v="4"/>
    <x v="10"/>
    <s v="2014"/>
    <n v="0.09"/>
  </r>
  <r>
    <x v="2"/>
    <x v="1"/>
    <x v="4"/>
    <x v="2"/>
    <n v="880"/>
    <n v="250"/>
    <n v="12"/>
    <n v="10560"/>
    <n v="950.4"/>
    <n v="9609.6"/>
    <n v="2640"/>
    <n v="6969.6"/>
    <x v="14"/>
    <n v="5"/>
    <x v="11"/>
    <s v="2014"/>
    <n v="0.09"/>
  </r>
  <r>
    <x v="4"/>
    <x v="4"/>
    <x v="4"/>
    <x v="2"/>
    <n v="1867"/>
    <n v="250"/>
    <n v="300"/>
    <n v="560100"/>
    <n v="50409"/>
    <n v="509691"/>
    <n v="466750"/>
    <n v="42941"/>
    <x v="6"/>
    <n v="9"/>
    <x v="6"/>
    <s v="2014"/>
    <n v="0.09"/>
  </r>
  <r>
    <x v="2"/>
    <x v="2"/>
    <x v="4"/>
    <x v="2"/>
    <n v="2234"/>
    <n v="250"/>
    <n v="12"/>
    <n v="26808"/>
    <n v="2412.7199999999998"/>
    <n v="24395.279999999999"/>
    <n v="6702"/>
    <n v="17693.28"/>
    <x v="9"/>
    <n v="9"/>
    <x v="6"/>
    <s v="2013"/>
    <n v="0.09"/>
  </r>
  <r>
    <x v="1"/>
    <x v="2"/>
    <x v="4"/>
    <x v="2"/>
    <n v="1227"/>
    <n v="250"/>
    <n v="15"/>
    <n v="18405"/>
    <n v="1656.45"/>
    <n v="16748.55"/>
    <n v="12270"/>
    <n v="4478.5499999999993"/>
    <x v="10"/>
    <n v="10"/>
    <x v="7"/>
    <s v="2014"/>
    <n v="0.09"/>
  </r>
  <r>
    <x v="3"/>
    <x v="3"/>
    <x v="4"/>
    <x v="2"/>
    <n v="877"/>
    <n v="250"/>
    <n v="125"/>
    <n v="109625"/>
    <n v="9866.25"/>
    <n v="99758.75"/>
    <n v="105240"/>
    <n v="-5481.25"/>
    <x v="15"/>
    <n v="11"/>
    <x v="9"/>
    <s v="2014"/>
    <n v="0.09"/>
  </r>
  <r>
    <x v="0"/>
    <x v="4"/>
    <x v="5"/>
    <x v="2"/>
    <n v="2071"/>
    <n v="260"/>
    <n v="350"/>
    <n v="724850"/>
    <n v="65236.5"/>
    <n v="659613.5"/>
    <n v="538460"/>
    <n v="121153.5"/>
    <x v="6"/>
    <n v="9"/>
    <x v="6"/>
    <s v="2014"/>
    <n v="0.09"/>
  </r>
  <r>
    <x v="0"/>
    <x v="0"/>
    <x v="5"/>
    <x v="2"/>
    <n v="1269"/>
    <n v="260"/>
    <n v="350"/>
    <n v="444150"/>
    <n v="39973.5"/>
    <n v="404176.5"/>
    <n v="329940"/>
    <n v="74236.5"/>
    <x v="10"/>
    <n v="10"/>
    <x v="7"/>
    <s v="2014"/>
    <n v="0.09"/>
  </r>
  <r>
    <x v="1"/>
    <x v="1"/>
    <x v="5"/>
    <x v="2"/>
    <n v="970"/>
    <n v="260"/>
    <n v="15"/>
    <n v="14550"/>
    <n v="1309.5"/>
    <n v="13240.5"/>
    <n v="9700"/>
    <n v="3540.5"/>
    <x v="11"/>
    <n v="11"/>
    <x v="9"/>
    <s v="2013"/>
    <n v="0.09"/>
  </r>
  <r>
    <x v="0"/>
    <x v="3"/>
    <x v="5"/>
    <x v="2"/>
    <n v="1694"/>
    <n v="260"/>
    <n v="20"/>
    <n v="33880"/>
    <n v="3049.2"/>
    <n v="30830.799999999999"/>
    <n v="16940"/>
    <n v="13890.8"/>
    <x v="15"/>
    <n v="11"/>
    <x v="9"/>
    <s v="2014"/>
    <n v="0.09"/>
  </r>
  <r>
    <x v="0"/>
    <x v="1"/>
    <x v="0"/>
    <x v="2"/>
    <n v="663"/>
    <n v="3"/>
    <n v="20"/>
    <n v="13260"/>
    <n v="1193.4000000000001"/>
    <n v="12066.6"/>
    <n v="6630"/>
    <n v="5436.6"/>
    <x v="14"/>
    <n v="5"/>
    <x v="11"/>
    <s v="2014"/>
    <n v="9.0000000000000011E-2"/>
  </r>
  <r>
    <x v="0"/>
    <x v="0"/>
    <x v="0"/>
    <x v="2"/>
    <n v="819"/>
    <n v="3"/>
    <n v="7"/>
    <n v="5733"/>
    <n v="515.97"/>
    <n v="5217.03"/>
    <n v="4095"/>
    <n v="1122.03"/>
    <x v="4"/>
    <n v="7"/>
    <x v="4"/>
    <s v="2014"/>
    <n v="9.0000000000000011E-2"/>
  </r>
  <r>
    <x v="2"/>
    <x v="1"/>
    <x v="0"/>
    <x v="2"/>
    <n v="1580"/>
    <n v="3"/>
    <n v="12"/>
    <n v="18960"/>
    <n v="1706.4"/>
    <n v="17253.599999999999"/>
    <n v="4740"/>
    <n v="12513.599999999999"/>
    <x v="6"/>
    <n v="9"/>
    <x v="6"/>
    <s v="2014"/>
    <n v="9.0000000000000011E-2"/>
  </r>
  <r>
    <x v="0"/>
    <x v="3"/>
    <x v="0"/>
    <x v="2"/>
    <n v="521"/>
    <n v="3"/>
    <n v="7"/>
    <n v="3647"/>
    <n v="328.23"/>
    <n v="3318.77"/>
    <n v="2605"/>
    <n v="713.77"/>
    <x v="2"/>
    <n v="12"/>
    <x v="2"/>
    <s v="2014"/>
    <n v="9.0000000000000011E-2"/>
  </r>
  <r>
    <x v="0"/>
    <x v="4"/>
    <x v="2"/>
    <x v="2"/>
    <n v="973"/>
    <n v="10"/>
    <n v="20"/>
    <n v="19460"/>
    <n v="1751.4"/>
    <n v="17708.599999999999"/>
    <n v="9730"/>
    <n v="7978.5999999999985"/>
    <x v="3"/>
    <n v="3"/>
    <x v="3"/>
    <s v="2014"/>
    <n v="9.0000000000000011E-2"/>
  </r>
  <r>
    <x v="0"/>
    <x v="3"/>
    <x v="2"/>
    <x v="2"/>
    <n v="1038"/>
    <n v="10"/>
    <n v="20"/>
    <n v="20760"/>
    <n v="1868.4"/>
    <n v="18891.599999999999"/>
    <n v="10380"/>
    <n v="8511.5999999999985"/>
    <x v="1"/>
    <n v="6"/>
    <x v="1"/>
    <s v="2014"/>
    <n v="9.0000000000000011E-2"/>
  </r>
  <r>
    <x v="0"/>
    <x v="1"/>
    <x v="2"/>
    <x v="2"/>
    <n v="360"/>
    <n v="10"/>
    <n v="7"/>
    <n v="2520"/>
    <n v="226.8"/>
    <n v="2293.1999999999998"/>
    <n v="1800"/>
    <n v="493.19999999999982"/>
    <x v="10"/>
    <n v="10"/>
    <x v="7"/>
    <s v="2014"/>
    <n v="9.0000000000000011E-2"/>
  </r>
  <r>
    <x v="2"/>
    <x v="2"/>
    <x v="3"/>
    <x v="2"/>
    <n v="1967"/>
    <n v="120"/>
    <n v="12"/>
    <n v="23604"/>
    <n v="2124.36"/>
    <n v="21479.64"/>
    <n v="5901"/>
    <n v="15578.64"/>
    <x v="3"/>
    <n v="3"/>
    <x v="3"/>
    <s v="2014"/>
    <n v="9.0000000000000011E-2"/>
  </r>
  <r>
    <x v="1"/>
    <x v="3"/>
    <x v="3"/>
    <x v="2"/>
    <n v="2628"/>
    <n v="120"/>
    <n v="15"/>
    <n v="39420"/>
    <n v="3547.8"/>
    <n v="35872.199999999997"/>
    <n v="26280"/>
    <n v="9592.1999999999971"/>
    <x v="13"/>
    <n v="4"/>
    <x v="10"/>
    <s v="2014"/>
    <n v="9.0000000000000011E-2"/>
  </r>
  <r>
    <x v="0"/>
    <x v="1"/>
    <x v="4"/>
    <x v="2"/>
    <n v="360"/>
    <n v="250"/>
    <n v="7"/>
    <n v="2520"/>
    <n v="226.8"/>
    <n v="2293.1999999999998"/>
    <n v="1800"/>
    <n v="493.19999999999982"/>
    <x v="10"/>
    <n v="10"/>
    <x v="7"/>
    <s v="2014"/>
    <n v="9.0000000000000011E-2"/>
  </r>
  <r>
    <x v="0"/>
    <x v="2"/>
    <x v="4"/>
    <x v="2"/>
    <n v="2682"/>
    <n v="250"/>
    <n v="20"/>
    <n v="53640"/>
    <n v="4827.6000000000004"/>
    <n v="48812.4"/>
    <n v="26820"/>
    <n v="21992.400000000001"/>
    <x v="11"/>
    <n v="11"/>
    <x v="9"/>
    <s v="2013"/>
    <n v="9.0000000000000011E-2"/>
  </r>
  <r>
    <x v="0"/>
    <x v="3"/>
    <x v="4"/>
    <x v="2"/>
    <n v="521"/>
    <n v="250"/>
    <n v="7"/>
    <n v="3647"/>
    <n v="328.23"/>
    <n v="3318.77"/>
    <n v="2605"/>
    <n v="713.77"/>
    <x v="2"/>
    <n v="12"/>
    <x v="2"/>
    <s v="2014"/>
    <n v="9.0000000000000011E-2"/>
  </r>
  <r>
    <x v="0"/>
    <x v="3"/>
    <x v="5"/>
    <x v="2"/>
    <n v="1038"/>
    <n v="260"/>
    <n v="20"/>
    <n v="20760"/>
    <n v="1868.4"/>
    <n v="18891.599999999999"/>
    <n v="10380"/>
    <n v="8511.5999999999985"/>
    <x v="1"/>
    <n v="6"/>
    <x v="1"/>
    <s v="2014"/>
    <n v="9.0000000000000011E-2"/>
  </r>
  <r>
    <x v="1"/>
    <x v="0"/>
    <x v="5"/>
    <x v="2"/>
    <n v="1630.5"/>
    <n v="260"/>
    <n v="15"/>
    <n v="24457.5"/>
    <n v="2201.1750000000002"/>
    <n v="22256.324999999997"/>
    <n v="16305"/>
    <n v="5951.3249999999989"/>
    <x v="4"/>
    <n v="7"/>
    <x v="4"/>
    <s v="2014"/>
    <n v="9.0000000000000011E-2"/>
  </r>
  <r>
    <x v="2"/>
    <x v="2"/>
    <x v="5"/>
    <x v="2"/>
    <n v="306"/>
    <n v="260"/>
    <n v="12"/>
    <n v="3672"/>
    <n v="330.48"/>
    <n v="3341.52"/>
    <n v="918"/>
    <n v="2423.52"/>
    <x v="12"/>
    <n v="12"/>
    <x v="2"/>
    <s v="2013"/>
    <n v="9.0000000000000011E-2"/>
  </r>
  <r>
    <x v="2"/>
    <x v="4"/>
    <x v="0"/>
    <x v="3"/>
    <n v="386"/>
    <n v="3"/>
    <n v="12"/>
    <n v="4632"/>
    <n v="463.2"/>
    <n v="4168.8"/>
    <n v="1158"/>
    <n v="3010.8"/>
    <x v="7"/>
    <n v="10"/>
    <x v="7"/>
    <s v="2013"/>
    <n v="9.9999999999999992E-2"/>
  </r>
  <r>
    <x v="0"/>
    <x v="4"/>
    <x v="1"/>
    <x v="3"/>
    <n v="2328"/>
    <n v="5"/>
    <n v="7"/>
    <n v="16296"/>
    <n v="1629.6"/>
    <n v="14666.4"/>
    <n v="11640"/>
    <n v="3026.3999999999996"/>
    <x v="6"/>
    <n v="9"/>
    <x v="6"/>
    <s v="2014"/>
    <n v="9.9999999999999992E-2"/>
  </r>
  <r>
    <x v="2"/>
    <x v="4"/>
    <x v="2"/>
    <x v="3"/>
    <n v="386"/>
    <n v="10"/>
    <n v="12"/>
    <n v="4632"/>
    <n v="463.2"/>
    <n v="4168.8"/>
    <n v="1158"/>
    <n v="3010.8"/>
    <x v="7"/>
    <n v="10"/>
    <x v="7"/>
    <s v="2013"/>
    <n v="9.9999999999999992E-2"/>
  </r>
  <r>
    <x v="3"/>
    <x v="4"/>
    <x v="0"/>
    <x v="3"/>
    <n v="3445.5"/>
    <n v="3"/>
    <n v="125"/>
    <n v="430687.5"/>
    <n v="43068.75"/>
    <n v="387618.75"/>
    <n v="413460"/>
    <n v="-25841.25"/>
    <x v="13"/>
    <n v="4"/>
    <x v="10"/>
    <s v="2014"/>
    <n v="0.1"/>
  </r>
  <r>
    <x v="3"/>
    <x v="2"/>
    <x v="0"/>
    <x v="3"/>
    <n v="1482"/>
    <n v="3"/>
    <n v="125"/>
    <n v="185250"/>
    <n v="18525"/>
    <n v="166725"/>
    <n v="177840"/>
    <n v="-11115"/>
    <x v="12"/>
    <n v="12"/>
    <x v="2"/>
    <s v="2013"/>
    <n v="0.1"/>
  </r>
  <r>
    <x v="0"/>
    <x v="4"/>
    <x v="1"/>
    <x v="3"/>
    <n v="2313"/>
    <n v="5"/>
    <n v="350"/>
    <n v="809550"/>
    <n v="80955"/>
    <n v="728595"/>
    <n v="601380"/>
    <n v="127215"/>
    <x v="14"/>
    <n v="5"/>
    <x v="11"/>
    <s v="2014"/>
    <n v="0.1"/>
  </r>
  <r>
    <x v="3"/>
    <x v="4"/>
    <x v="1"/>
    <x v="3"/>
    <n v="1804"/>
    <n v="5"/>
    <n v="125"/>
    <n v="225500"/>
    <n v="22550"/>
    <n v="202950"/>
    <n v="216480"/>
    <n v="-13530"/>
    <x v="11"/>
    <n v="11"/>
    <x v="9"/>
    <s v="2013"/>
    <n v="0.1"/>
  </r>
  <r>
    <x v="1"/>
    <x v="2"/>
    <x v="1"/>
    <x v="3"/>
    <n v="2072"/>
    <n v="5"/>
    <n v="15"/>
    <n v="31080"/>
    <n v="3108"/>
    <n v="27972"/>
    <n v="20720"/>
    <n v="7252"/>
    <x v="2"/>
    <n v="12"/>
    <x v="2"/>
    <s v="2014"/>
    <n v="0.1"/>
  </r>
  <r>
    <x v="0"/>
    <x v="2"/>
    <x v="2"/>
    <x v="3"/>
    <n v="1954"/>
    <n v="10"/>
    <n v="20"/>
    <n v="39080"/>
    <n v="3908"/>
    <n v="35172"/>
    <n v="19540"/>
    <n v="15632"/>
    <x v="3"/>
    <n v="3"/>
    <x v="3"/>
    <s v="2014"/>
    <n v="0.1"/>
  </r>
  <r>
    <x v="4"/>
    <x v="3"/>
    <x v="2"/>
    <x v="3"/>
    <n v="591"/>
    <n v="10"/>
    <n v="300"/>
    <n v="177300"/>
    <n v="17730"/>
    <n v="159570"/>
    <n v="147750"/>
    <n v="11820"/>
    <x v="14"/>
    <n v="5"/>
    <x v="11"/>
    <s v="2014"/>
    <n v="0.1"/>
  </r>
  <r>
    <x v="1"/>
    <x v="2"/>
    <x v="2"/>
    <x v="3"/>
    <n v="2167"/>
    <n v="10"/>
    <n v="15"/>
    <n v="32505"/>
    <n v="3250.5"/>
    <n v="29254.5"/>
    <n v="21670"/>
    <n v="7584.5"/>
    <x v="7"/>
    <n v="10"/>
    <x v="7"/>
    <s v="2013"/>
    <n v="0.1"/>
  </r>
  <r>
    <x v="0"/>
    <x v="1"/>
    <x v="2"/>
    <x v="3"/>
    <n v="241"/>
    <n v="10"/>
    <n v="20"/>
    <n v="4820"/>
    <n v="482"/>
    <n v="4338"/>
    <n v="2410"/>
    <n v="1928"/>
    <x v="10"/>
    <n v="10"/>
    <x v="7"/>
    <s v="2014"/>
    <n v="0.1"/>
  </r>
  <r>
    <x v="1"/>
    <x v="1"/>
    <x v="3"/>
    <x v="3"/>
    <n v="681"/>
    <n v="120"/>
    <n v="15"/>
    <n v="10215"/>
    <n v="1021.5"/>
    <n v="9193.5"/>
    <n v="6810"/>
    <n v="2383.5"/>
    <x v="0"/>
    <n v="1"/>
    <x v="0"/>
    <s v="2014"/>
    <n v="0.1"/>
  </r>
  <r>
    <x v="1"/>
    <x v="1"/>
    <x v="3"/>
    <x v="3"/>
    <n v="510"/>
    <n v="120"/>
    <n v="15"/>
    <n v="7650"/>
    <n v="765"/>
    <n v="6885"/>
    <n v="5100"/>
    <n v="1785"/>
    <x v="13"/>
    <n v="4"/>
    <x v="10"/>
    <s v="2014"/>
    <n v="0.1"/>
  </r>
  <r>
    <x v="1"/>
    <x v="4"/>
    <x v="3"/>
    <x v="3"/>
    <n v="790"/>
    <n v="120"/>
    <n v="15"/>
    <n v="11850"/>
    <n v="1185"/>
    <n v="10665"/>
    <n v="7900"/>
    <n v="2765"/>
    <x v="14"/>
    <n v="5"/>
    <x v="11"/>
    <s v="2014"/>
    <n v="0.1"/>
  </r>
  <r>
    <x v="0"/>
    <x v="2"/>
    <x v="3"/>
    <x v="3"/>
    <n v="639"/>
    <n v="120"/>
    <n v="350"/>
    <n v="223650"/>
    <n v="22365"/>
    <n v="201285"/>
    <n v="166140"/>
    <n v="35145"/>
    <x v="4"/>
    <n v="7"/>
    <x v="4"/>
    <s v="2014"/>
    <n v="0.1"/>
  </r>
  <r>
    <x v="3"/>
    <x v="4"/>
    <x v="3"/>
    <x v="3"/>
    <n v="1596"/>
    <n v="120"/>
    <n v="125"/>
    <n v="199500"/>
    <n v="19950"/>
    <n v="179550"/>
    <n v="191520"/>
    <n v="-11970"/>
    <x v="6"/>
    <n v="9"/>
    <x v="6"/>
    <s v="2014"/>
    <n v="0.1"/>
  </r>
  <r>
    <x v="4"/>
    <x v="4"/>
    <x v="3"/>
    <x v="3"/>
    <n v="2294"/>
    <n v="120"/>
    <n v="300"/>
    <n v="688200"/>
    <n v="68820"/>
    <n v="619380"/>
    <n v="573500"/>
    <n v="45880"/>
    <x v="7"/>
    <n v="10"/>
    <x v="7"/>
    <s v="2013"/>
    <n v="0.1"/>
  </r>
  <r>
    <x v="0"/>
    <x v="1"/>
    <x v="3"/>
    <x v="3"/>
    <n v="241"/>
    <n v="120"/>
    <n v="20"/>
    <n v="4820"/>
    <n v="482"/>
    <n v="4338"/>
    <n v="2410"/>
    <n v="1928"/>
    <x v="10"/>
    <n v="10"/>
    <x v="7"/>
    <s v="2014"/>
    <n v="0.1"/>
  </r>
  <r>
    <x v="0"/>
    <x v="1"/>
    <x v="3"/>
    <x v="3"/>
    <n v="2665"/>
    <n v="120"/>
    <n v="7"/>
    <n v="18655"/>
    <n v="1865.5"/>
    <n v="16789.5"/>
    <n v="13325"/>
    <n v="3464.5"/>
    <x v="15"/>
    <n v="11"/>
    <x v="9"/>
    <s v="2014"/>
    <n v="0.1"/>
  </r>
  <r>
    <x v="3"/>
    <x v="0"/>
    <x v="3"/>
    <x v="3"/>
    <n v="1916"/>
    <n v="120"/>
    <n v="125"/>
    <n v="239500"/>
    <n v="23950"/>
    <n v="215550"/>
    <n v="229920"/>
    <n v="-14370"/>
    <x v="12"/>
    <n v="12"/>
    <x v="2"/>
    <s v="2013"/>
    <n v="0.1"/>
  </r>
  <r>
    <x v="4"/>
    <x v="2"/>
    <x v="3"/>
    <x v="3"/>
    <n v="853"/>
    <n v="120"/>
    <n v="300"/>
    <n v="255900"/>
    <n v="25590"/>
    <n v="230310"/>
    <n v="213250"/>
    <n v="17060"/>
    <x v="2"/>
    <n v="12"/>
    <x v="2"/>
    <s v="2014"/>
    <n v="0.1"/>
  </r>
  <r>
    <x v="3"/>
    <x v="3"/>
    <x v="4"/>
    <x v="3"/>
    <n v="341"/>
    <n v="250"/>
    <n v="125"/>
    <n v="42625"/>
    <n v="4262.5"/>
    <n v="38362.5"/>
    <n v="40920"/>
    <n v="-2557.5"/>
    <x v="14"/>
    <n v="5"/>
    <x v="11"/>
    <s v="2014"/>
    <n v="0.1"/>
  </r>
  <r>
    <x v="1"/>
    <x v="3"/>
    <x v="4"/>
    <x v="3"/>
    <n v="641"/>
    <n v="250"/>
    <n v="15"/>
    <n v="9615"/>
    <n v="961.5"/>
    <n v="8653.5"/>
    <n v="6410"/>
    <n v="2243.5"/>
    <x v="4"/>
    <n v="7"/>
    <x v="4"/>
    <s v="2014"/>
    <n v="0.1"/>
  </r>
  <r>
    <x v="0"/>
    <x v="4"/>
    <x v="4"/>
    <x v="3"/>
    <n v="2807"/>
    <n v="250"/>
    <n v="350"/>
    <n v="982450"/>
    <n v="98245"/>
    <n v="884205"/>
    <n v="729820"/>
    <n v="154385"/>
    <x v="5"/>
    <n v="8"/>
    <x v="5"/>
    <s v="2014"/>
    <n v="0.1"/>
  </r>
  <r>
    <x v="4"/>
    <x v="3"/>
    <x v="4"/>
    <x v="3"/>
    <n v="432"/>
    <n v="250"/>
    <n v="300"/>
    <n v="129600"/>
    <n v="12960"/>
    <n v="116640"/>
    <n v="108000"/>
    <n v="8640"/>
    <x v="6"/>
    <n v="9"/>
    <x v="6"/>
    <s v="2014"/>
    <n v="0.1"/>
  </r>
  <r>
    <x v="4"/>
    <x v="4"/>
    <x v="4"/>
    <x v="3"/>
    <n v="2294"/>
    <n v="250"/>
    <n v="300"/>
    <n v="688200"/>
    <n v="68820"/>
    <n v="619380"/>
    <n v="573500"/>
    <n v="45880"/>
    <x v="7"/>
    <n v="10"/>
    <x v="7"/>
    <s v="2013"/>
    <n v="0.1"/>
  </r>
  <r>
    <x v="1"/>
    <x v="2"/>
    <x v="4"/>
    <x v="3"/>
    <n v="2167"/>
    <n v="250"/>
    <n v="15"/>
    <n v="32505"/>
    <n v="3250.5"/>
    <n v="29254.5"/>
    <n v="21670"/>
    <n v="7584.5"/>
    <x v="7"/>
    <n v="10"/>
    <x v="7"/>
    <s v="2013"/>
    <n v="0.1"/>
  </r>
  <r>
    <x v="3"/>
    <x v="0"/>
    <x v="4"/>
    <x v="3"/>
    <n v="2529"/>
    <n v="250"/>
    <n v="125"/>
    <n v="316125"/>
    <n v="31612.5"/>
    <n v="284512.5"/>
    <n v="303480"/>
    <n v="-18967.5"/>
    <x v="15"/>
    <n v="11"/>
    <x v="9"/>
    <s v="2014"/>
    <n v="0.1"/>
  </r>
  <r>
    <x v="0"/>
    <x v="1"/>
    <x v="4"/>
    <x v="3"/>
    <n v="1870"/>
    <n v="250"/>
    <n v="350"/>
    <n v="654500"/>
    <n v="65450"/>
    <n v="589050"/>
    <n v="486200"/>
    <n v="102850"/>
    <x v="12"/>
    <n v="12"/>
    <x v="2"/>
    <s v="2013"/>
    <n v="0.1"/>
  </r>
  <r>
    <x v="3"/>
    <x v="4"/>
    <x v="5"/>
    <x v="3"/>
    <n v="579"/>
    <n v="260"/>
    <n v="125"/>
    <n v="72375"/>
    <n v="7237.5"/>
    <n v="65137.5"/>
    <n v="69480"/>
    <n v="-4342.5"/>
    <x v="0"/>
    <n v="1"/>
    <x v="0"/>
    <s v="2014"/>
    <n v="0.1"/>
  </r>
  <r>
    <x v="0"/>
    <x v="0"/>
    <x v="5"/>
    <x v="3"/>
    <n v="2240"/>
    <n v="260"/>
    <n v="350"/>
    <n v="784000"/>
    <n v="78400"/>
    <n v="705600"/>
    <n v="582400"/>
    <n v="123200"/>
    <x v="8"/>
    <n v="2"/>
    <x v="8"/>
    <s v="2014"/>
    <n v="0.1"/>
  </r>
  <r>
    <x v="4"/>
    <x v="4"/>
    <x v="5"/>
    <x v="3"/>
    <n v="2993"/>
    <n v="260"/>
    <n v="300"/>
    <n v="897900"/>
    <n v="89790"/>
    <n v="808110"/>
    <n v="748250"/>
    <n v="59860"/>
    <x v="3"/>
    <n v="3"/>
    <x v="3"/>
    <s v="2014"/>
    <n v="0.1"/>
  </r>
  <r>
    <x v="2"/>
    <x v="0"/>
    <x v="5"/>
    <x v="3"/>
    <n v="3520.5"/>
    <n v="260"/>
    <n v="12"/>
    <n v="42246"/>
    <n v="4224.6000000000004"/>
    <n v="38021.399999999994"/>
    <n v="10561.5"/>
    <n v="27459.899999999998"/>
    <x v="13"/>
    <n v="4"/>
    <x v="10"/>
    <s v="2014"/>
    <n v="0.1"/>
  </r>
  <r>
    <x v="0"/>
    <x v="3"/>
    <x v="5"/>
    <x v="3"/>
    <n v="2039"/>
    <n v="260"/>
    <n v="20"/>
    <n v="40780"/>
    <n v="4078"/>
    <n v="36702"/>
    <n v="20390"/>
    <n v="16312"/>
    <x v="14"/>
    <n v="5"/>
    <x v="11"/>
    <s v="2014"/>
    <n v="0.1"/>
  </r>
  <r>
    <x v="2"/>
    <x v="1"/>
    <x v="5"/>
    <x v="3"/>
    <n v="2574"/>
    <n v="260"/>
    <n v="12"/>
    <n v="30888"/>
    <n v="3088.8"/>
    <n v="27799.200000000001"/>
    <n v="7722"/>
    <n v="20077.2"/>
    <x v="5"/>
    <n v="8"/>
    <x v="5"/>
    <s v="2014"/>
    <n v="0.1"/>
  </r>
  <r>
    <x v="0"/>
    <x v="0"/>
    <x v="5"/>
    <x v="3"/>
    <n v="707"/>
    <n v="260"/>
    <n v="350"/>
    <n v="247450"/>
    <n v="24745"/>
    <n v="222705"/>
    <n v="183820"/>
    <n v="38885"/>
    <x v="6"/>
    <n v="9"/>
    <x v="6"/>
    <s v="2014"/>
    <n v="0.1"/>
  </r>
  <r>
    <x v="1"/>
    <x v="2"/>
    <x v="5"/>
    <x v="3"/>
    <n v="2072"/>
    <n v="260"/>
    <n v="15"/>
    <n v="31080"/>
    <n v="3108"/>
    <n v="27972"/>
    <n v="20720"/>
    <n v="7252"/>
    <x v="2"/>
    <n v="12"/>
    <x v="2"/>
    <s v="2014"/>
    <n v="0.1"/>
  </r>
  <r>
    <x v="4"/>
    <x v="2"/>
    <x v="5"/>
    <x v="3"/>
    <n v="853"/>
    <n v="260"/>
    <n v="300"/>
    <n v="255900"/>
    <n v="25590"/>
    <n v="230310"/>
    <n v="213250"/>
    <n v="17060"/>
    <x v="2"/>
    <n v="12"/>
    <x v="2"/>
    <s v="2014"/>
    <n v="0.1"/>
  </r>
  <r>
    <x v="2"/>
    <x v="2"/>
    <x v="0"/>
    <x v="3"/>
    <n v="1198"/>
    <n v="3"/>
    <n v="12"/>
    <n v="14376"/>
    <n v="1581.36"/>
    <n v="12794.64"/>
    <n v="3594"/>
    <n v="9200.64"/>
    <x v="7"/>
    <n v="10"/>
    <x v="7"/>
    <s v="2013"/>
    <n v="0.10999999999999999"/>
  </r>
  <r>
    <x v="0"/>
    <x v="2"/>
    <x v="2"/>
    <x v="3"/>
    <n v="2532"/>
    <n v="10"/>
    <n v="7"/>
    <n v="17724"/>
    <n v="1949.6399999999999"/>
    <n v="15774.36"/>
    <n v="12660"/>
    <n v="3114.3599999999997"/>
    <x v="13"/>
    <n v="4"/>
    <x v="10"/>
    <s v="2014"/>
    <n v="0.10999999999999999"/>
  </r>
  <r>
    <x v="2"/>
    <x v="2"/>
    <x v="2"/>
    <x v="3"/>
    <n v="1198"/>
    <n v="10"/>
    <n v="12"/>
    <n v="14376"/>
    <n v="1581.36"/>
    <n v="12794.64"/>
    <n v="3594"/>
    <n v="9200.64"/>
    <x v="7"/>
    <n v="10"/>
    <x v="7"/>
    <s v="2013"/>
    <n v="0.10999999999999999"/>
  </r>
  <r>
    <x v="1"/>
    <x v="0"/>
    <x v="3"/>
    <x v="3"/>
    <n v="384"/>
    <n v="120"/>
    <n v="15"/>
    <n v="5760"/>
    <n v="633.59999999999991"/>
    <n v="5126.3999999999996"/>
    <n v="3840"/>
    <n v="1286.3999999999999"/>
    <x v="0"/>
    <n v="1"/>
    <x v="0"/>
    <s v="2014"/>
    <n v="0.10999999999999999"/>
  </r>
  <r>
    <x v="2"/>
    <x v="1"/>
    <x v="3"/>
    <x v="3"/>
    <n v="472"/>
    <n v="120"/>
    <n v="12"/>
    <n v="5664"/>
    <n v="623.04"/>
    <n v="5040.96"/>
    <n v="1416"/>
    <n v="3624.96"/>
    <x v="10"/>
    <n v="10"/>
    <x v="7"/>
    <s v="2014"/>
    <n v="0.10999999999999999"/>
  </r>
  <r>
    <x v="0"/>
    <x v="4"/>
    <x v="4"/>
    <x v="3"/>
    <n v="1579"/>
    <n v="250"/>
    <n v="7"/>
    <n v="11053"/>
    <n v="1215.83"/>
    <n v="9837.17"/>
    <n v="7895"/>
    <n v="1942.17"/>
    <x v="3"/>
    <n v="3"/>
    <x v="3"/>
    <s v="2014"/>
    <n v="0.10999999999999999"/>
  </r>
  <r>
    <x v="2"/>
    <x v="3"/>
    <x v="4"/>
    <x v="3"/>
    <n v="1005"/>
    <n v="250"/>
    <n v="12"/>
    <n v="12060"/>
    <n v="1326.6"/>
    <n v="10733.4"/>
    <n v="3015"/>
    <n v="7718.4"/>
    <x v="9"/>
    <n v="9"/>
    <x v="6"/>
    <s v="2013"/>
    <n v="0.10999999999999999"/>
  </r>
  <r>
    <x v="1"/>
    <x v="4"/>
    <x v="5"/>
    <x v="3"/>
    <n v="3199.5"/>
    <n v="260"/>
    <n v="15"/>
    <n v="47992.5"/>
    <n v="5279.1749999999993"/>
    <n v="42713.324999999997"/>
    <n v="31995"/>
    <n v="10718.324999999999"/>
    <x v="4"/>
    <n v="7"/>
    <x v="4"/>
    <s v="2014"/>
    <n v="0.10999999999999999"/>
  </r>
  <r>
    <x v="2"/>
    <x v="1"/>
    <x v="5"/>
    <x v="3"/>
    <n v="472"/>
    <n v="260"/>
    <n v="12"/>
    <n v="5664"/>
    <n v="623.04"/>
    <n v="5040.96"/>
    <n v="1416"/>
    <n v="3624.96"/>
    <x v="10"/>
    <n v="10"/>
    <x v="7"/>
    <s v="2014"/>
    <n v="0.10999999999999999"/>
  </r>
  <r>
    <x v="2"/>
    <x v="0"/>
    <x v="0"/>
    <x v="3"/>
    <n v="1937"/>
    <n v="3"/>
    <n v="12"/>
    <n v="23244"/>
    <n v="2556.84"/>
    <n v="20687.16"/>
    <n v="5811"/>
    <n v="14876.16"/>
    <x v="8"/>
    <n v="2"/>
    <x v="8"/>
    <s v="2014"/>
    <n v="0.11"/>
  </r>
  <r>
    <x v="0"/>
    <x v="1"/>
    <x v="0"/>
    <x v="3"/>
    <n v="792"/>
    <n v="3"/>
    <n v="350"/>
    <n v="277200"/>
    <n v="30492"/>
    <n v="246708"/>
    <n v="205920"/>
    <n v="40788"/>
    <x v="3"/>
    <n v="3"/>
    <x v="3"/>
    <s v="2014"/>
    <n v="0.11"/>
  </r>
  <r>
    <x v="4"/>
    <x v="1"/>
    <x v="0"/>
    <x v="3"/>
    <n v="2811"/>
    <n v="3"/>
    <n v="300"/>
    <n v="843300"/>
    <n v="92763"/>
    <n v="750537"/>
    <n v="702750"/>
    <n v="47787"/>
    <x v="4"/>
    <n v="7"/>
    <x v="4"/>
    <s v="2014"/>
    <n v="0.11"/>
  </r>
  <r>
    <x v="3"/>
    <x v="2"/>
    <x v="0"/>
    <x v="3"/>
    <n v="2441"/>
    <n v="3"/>
    <n v="125"/>
    <n v="305125"/>
    <n v="33563.75"/>
    <n v="271561.25"/>
    <n v="292920"/>
    <n v="-21358.75"/>
    <x v="10"/>
    <n v="10"/>
    <x v="7"/>
    <s v="2014"/>
    <n v="0.11"/>
  </r>
  <r>
    <x v="1"/>
    <x v="0"/>
    <x v="0"/>
    <x v="3"/>
    <n v="1560"/>
    <n v="3"/>
    <n v="15"/>
    <n v="23400"/>
    <n v="2574"/>
    <n v="20826"/>
    <n v="15600"/>
    <n v="5226"/>
    <x v="11"/>
    <n v="11"/>
    <x v="9"/>
    <s v="2013"/>
    <n v="0.11"/>
  </r>
  <r>
    <x v="0"/>
    <x v="3"/>
    <x v="0"/>
    <x v="3"/>
    <n v="2706"/>
    <n v="3"/>
    <n v="7"/>
    <n v="18942"/>
    <n v="2083.62"/>
    <n v="16858.38"/>
    <n v="13530"/>
    <n v="3328.380000000001"/>
    <x v="11"/>
    <n v="11"/>
    <x v="9"/>
    <s v="2013"/>
    <n v="0.11"/>
  </r>
  <r>
    <x v="0"/>
    <x v="1"/>
    <x v="1"/>
    <x v="3"/>
    <n v="766"/>
    <n v="5"/>
    <n v="350"/>
    <n v="268100"/>
    <n v="29491"/>
    <n v="238609"/>
    <n v="199160"/>
    <n v="39449"/>
    <x v="0"/>
    <n v="1"/>
    <x v="0"/>
    <s v="2014"/>
    <n v="0.11"/>
  </r>
  <r>
    <x v="0"/>
    <x v="1"/>
    <x v="1"/>
    <x v="3"/>
    <n v="2992"/>
    <n v="5"/>
    <n v="20"/>
    <n v="59840"/>
    <n v="6582.4"/>
    <n v="53257.599999999999"/>
    <n v="29920"/>
    <n v="23337.599999999999"/>
    <x v="7"/>
    <n v="10"/>
    <x v="7"/>
    <s v="2013"/>
    <n v="0.11"/>
  </r>
  <r>
    <x v="1"/>
    <x v="3"/>
    <x v="1"/>
    <x v="3"/>
    <n v="2157"/>
    <n v="5"/>
    <n v="15"/>
    <n v="32355"/>
    <n v="3559.05"/>
    <n v="28795.95"/>
    <n v="21570"/>
    <n v="7225.9500000000007"/>
    <x v="2"/>
    <n v="12"/>
    <x v="2"/>
    <s v="2014"/>
    <n v="0.11"/>
  </r>
  <r>
    <x v="4"/>
    <x v="0"/>
    <x v="2"/>
    <x v="3"/>
    <n v="873"/>
    <n v="10"/>
    <n v="300"/>
    <n v="261900"/>
    <n v="28809"/>
    <n v="233091"/>
    <n v="218250"/>
    <n v="14841"/>
    <x v="0"/>
    <n v="1"/>
    <x v="0"/>
    <s v="2014"/>
    <n v="0.11"/>
  </r>
  <r>
    <x v="0"/>
    <x v="3"/>
    <x v="2"/>
    <x v="3"/>
    <n v="1122"/>
    <n v="10"/>
    <n v="20"/>
    <n v="22440"/>
    <n v="2468.4"/>
    <n v="19971.599999999999"/>
    <n v="11220"/>
    <n v="8751.5999999999985"/>
    <x v="3"/>
    <n v="3"/>
    <x v="3"/>
    <s v="2014"/>
    <n v="0.11"/>
  </r>
  <r>
    <x v="0"/>
    <x v="0"/>
    <x v="2"/>
    <x v="3"/>
    <n v="2104.5"/>
    <n v="10"/>
    <n v="350"/>
    <n v="736575"/>
    <n v="81023.25"/>
    <n v="655551.75"/>
    <n v="547170"/>
    <n v="108381.75"/>
    <x v="4"/>
    <n v="7"/>
    <x v="4"/>
    <s v="2014"/>
    <n v="0.11"/>
  </r>
  <r>
    <x v="2"/>
    <x v="0"/>
    <x v="2"/>
    <x v="3"/>
    <n v="4026"/>
    <n v="10"/>
    <n v="12"/>
    <n v="48312"/>
    <n v="5314.32"/>
    <n v="42997.68"/>
    <n v="12078"/>
    <n v="30919.68"/>
    <x v="4"/>
    <n v="7"/>
    <x v="4"/>
    <s v="2014"/>
    <n v="0.11"/>
  </r>
  <r>
    <x v="2"/>
    <x v="2"/>
    <x v="2"/>
    <x v="3"/>
    <n v="2425.5"/>
    <n v="10"/>
    <n v="12"/>
    <n v="29106"/>
    <n v="3201.66"/>
    <n v="25904.340000000004"/>
    <n v="7276.5"/>
    <n v="18627.840000000004"/>
    <x v="4"/>
    <n v="7"/>
    <x v="4"/>
    <s v="2014"/>
    <n v="0.11"/>
  </r>
  <r>
    <x v="0"/>
    <x v="0"/>
    <x v="2"/>
    <x v="3"/>
    <n v="2394"/>
    <n v="10"/>
    <n v="20"/>
    <n v="47880"/>
    <n v="5266.8"/>
    <n v="42613.2"/>
    <n v="23940"/>
    <n v="18673.199999999997"/>
    <x v="5"/>
    <n v="8"/>
    <x v="5"/>
    <s v="2014"/>
    <n v="0.11"/>
  </r>
  <r>
    <x v="1"/>
    <x v="3"/>
    <x v="2"/>
    <x v="3"/>
    <n v="1984"/>
    <n v="10"/>
    <n v="15"/>
    <n v="29760"/>
    <n v="3273.6"/>
    <n v="26486.400000000001"/>
    <n v="19840"/>
    <n v="6646.4000000000015"/>
    <x v="5"/>
    <n v="8"/>
    <x v="5"/>
    <s v="2014"/>
    <n v="0.11"/>
  </r>
  <r>
    <x v="3"/>
    <x v="2"/>
    <x v="2"/>
    <x v="3"/>
    <n v="2441"/>
    <n v="10"/>
    <n v="125"/>
    <n v="305125"/>
    <n v="33563.75"/>
    <n v="271561.25"/>
    <n v="292920"/>
    <n v="-21358.75"/>
    <x v="10"/>
    <n v="10"/>
    <x v="7"/>
    <s v="2014"/>
    <n v="0.11"/>
  </r>
  <r>
    <x v="0"/>
    <x v="1"/>
    <x v="2"/>
    <x v="3"/>
    <n v="2992"/>
    <n v="10"/>
    <n v="20"/>
    <n v="59840"/>
    <n v="6582.4"/>
    <n v="53257.599999999999"/>
    <n v="29920"/>
    <n v="23337.599999999999"/>
    <x v="7"/>
    <n v="10"/>
    <x v="7"/>
    <s v="2013"/>
    <n v="0.11"/>
  </r>
  <r>
    <x v="4"/>
    <x v="0"/>
    <x v="2"/>
    <x v="3"/>
    <n v="1366"/>
    <n v="10"/>
    <n v="300"/>
    <n v="409800"/>
    <n v="45078"/>
    <n v="364722"/>
    <n v="341500"/>
    <n v="23222"/>
    <x v="15"/>
    <n v="11"/>
    <x v="9"/>
    <s v="2014"/>
    <n v="0.11"/>
  </r>
  <r>
    <x v="0"/>
    <x v="2"/>
    <x v="3"/>
    <x v="3"/>
    <n v="2805"/>
    <n v="120"/>
    <n v="20"/>
    <n v="56100"/>
    <n v="6171"/>
    <n v="49929"/>
    <n v="28050"/>
    <n v="21879"/>
    <x v="9"/>
    <n v="9"/>
    <x v="6"/>
    <s v="2013"/>
    <n v="0.11"/>
  </r>
  <r>
    <x v="1"/>
    <x v="3"/>
    <x v="3"/>
    <x v="3"/>
    <n v="655"/>
    <n v="120"/>
    <n v="15"/>
    <n v="9825"/>
    <n v="1080.75"/>
    <n v="8744.25"/>
    <n v="6550"/>
    <n v="2194.25"/>
    <x v="9"/>
    <n v="9"/>
    <x v="6"/>
    <s v="2013"/>
    <n v="0.11"/>
  </r>
  <r>
    <x v="0"/>
    <x v="3"/>
    <x v="3"/>
    <x v="3"/>
    <n v="344"/>
    <n v="120"/>
    <n v="350"/>
    <n v="120400"/>
    <n v="13244"/>
    <n v="107156"/>
    <n v="89440"/>
    <n v="17716"/>
    <x v="7"/>
    <n v="10"/>
    <x v="7"/>
    <s v="2013"/>
    <n v="0.11"/>
  </r>
  <r>
    <x v="0"/>
    <x v="0"/>
    <x v="3"/>
    <x v="3"/>
    <n v="1808"/>
    <n v="120"/>
    <n v="7"/>
    <n v="12656"/>
    <n v="1392.16"/>
    <n v="11263.84"/>
    <n v="9040"/>
    <n v="2223.84"/>
    <x v="15"/>
    <n v="11"/>
    <x v="9"/>
    <s v="2014"/>
    <n v="0.11"/>
  </r>
  <r>
    <x v="2"/>
    <x v="2"/>
    <x v="4"/>
    <x v="3"/>
    <n v="1734"/>
    <n v="250"/>
    <n v="12"/>
    <n v="20808"/>
    <n v="2288.88"/>
    <n v="18519.12"/>
    <n v="5202"/>
    <n v="13317.119999999999"/>
    <x v="0"/>
    <n v="1"/>
    <x v="0"/>
    <s v="2014"/>
    <n v="0.11"/>
  </r>
  <r>
    <x v="3"/>
    <x v="3"/>
    <x v="4"/>
    <x v="3"/>
    <n v="554"/>
    <n v="250"/>
    <n v="125"/>
    <n v="69250"/>
    <n v="7617.5"/>
    <n v="61632.5"/>
    <n v="66480"/>
    <n v="-4847.5"/>
    <x v="0"/>
    <n v="1"/>
    <x v="0"/>
    <s v="2014"/>
    <n v="0.11"/>
  </r>
  <r>
    <x v="0"/>
    <x v="0"/>
    <x v="4"/>
    <x v="3"/>
    <n v="2935"/>
    <n v="250"/>
    <n v="20"/>
    <n v="58700"/>
    <n v="6457"/>
    <n v="52243"/>
    <n v="29350"/>
    <n v="22893"/>
    <x v="11"/>
    <n v="11"/>
    <x v="9"/>
    <s v="2013"/>
    <n v="0.11"/>
  </r>
  <r>
    <x v="3"/>
    <x v="1"/>
    <x v="5"/>
    <x v="3"/>
    <n v="3165"/>
    <n v="260"/>
    <n v="125"/>
    <n v="395625"/>
    <n v="43518.75"/>
    <n v="352106.25"/>
    <n v="379800"/>
    <n v="-27693.75"/>
    <x v="0"/>
    <n v="1"/>
    <x v="0"/>
    <s v="2014"/>
    <n v="0.11"/>
  </r>
  <r>
    <x v="0"/>
    <x v="3"/>
    <x v="5"/>
    <x v="3"/>
    <n v="2629"/>
    <n v="260"/>
    <n v="20"/>
    <n v="52580"/>
    <n v="5783.8"/>
    <n v="46796.2"/>
    <n v="26290"/>
    <n v="20506.199999999997"/>
    <x v="0"/>
    <n v="1"/>
    <x v="0"/>
    <s v="2014"/>
    <n v="0.11"/>
  </r>
  <r>
    <x v="3"/>
    <x v="2"/>
    <x v="5"/>
    <x v="3"/>
    <n v="1433"/>
    <n v="260"/>
    <n v="125"/>
    <n v="179125"/>
    <n v="19703.75"/>
    <n v="159421.25"/>
    <n v="171960"/>
    <n v="-12538.75"/>
    <x v="14"/>
    <n v="5"/>
    <x v="11"/>
    <s v="2014"/>
    <n v="0.11"/>
  </r>
  <r>
    <x v="3"/>
    <x v="3"/>
    <x v="5"/>
    <x v="3"/>
    <n v="947"/>
    <n v="260"/>
    <n v="125"/>
    <n v="118375"/>
    <n v="13021.25"/>
    <n v="105353.75"/>
    <n v="113640"/>
    <n v="-8286.25"/>
    <x v="9"/>
    <n v="9"/>
    <x v="6"/>
    <s v="2013"/>
    <n v="0.11"/>
  </r>
  <r>
    <x v="0"/>
    <x v="3"/>
    <x v="5"/>
    <x v="3"/>
    <n v="344"/>
    <n v="260"/>
    <n v="350"/>
    <n v="120400"/>
    <n v="13244"/>
    <n v="107156"/>
    <n v="89440"/>
    <n v="17716"/>
    <x v="7"/>
    <n v="10"/>
    <x v="7"/>
    <s v="2013"/>
    <n v="0.11"/>
  </r>
  <r>
    <x v="1"/>
    <x v="3"/>
    <x v="5"/>
    <x v="3"/>
    <n v="2157"/>
    <n v="260"/>
    <n v="15"/>
    <n v="32355"/>
    <n v="3559.05"/>
    <n v="28795.95"/>
    <n v="21570"/>
    <n v="7225.9500000000007"/>
    <x v="2"/>
    <n v="12"/>
    <x v="2"/>
    <s v="2014"/>
    <n v="0.11"/>
  </r>
  <r>
    <x v="0"/>
    <x v="4"/>
    <x v="2"/>
    <x v="3"/>
    <n v="380"/>
    <n v="10"/>
    <n v="7"/>
    <n v="2660"/>
    <n v="292.60000000000002"/>
    <n v="2367.4"/>
    <n v="1900"/>
    <n v="467.40000000000009"/>
    <x v="9"/>
    <n v="9"/>
    <x v="6"/>
    <s v="2013"/>
    <n v="0.11000000000000001"/>
  </r>
  <r>
    <x v="0"/>
    <x v="3"/>
    <x v="0"/>
    <x v="3"/>
    <n v="886"/>
    <n v="3"/>
    <n v="350"/>
    <n v="310100"/>
    <n v="37212"/>
    <n v="272888"/>
    <n v="230360"/>
    <n v="42528"/>
    <x v="1"/>
    <n v="6"/>
    <x v="1"/>
    <s v="2014"/>
    <n v="0.12"/>
  </r>
  <r>
    <x v="3"/>
    <x v="0"/>
    <x v="0"/>
    <x v="3"/>
    <n v="2416"/>
    <n v="3"/>
    <n v="125"/>
    <n v="302000"/>
    <n v="36240"/>
    <n v="265760"/>
    <n v="289920"/>
    <n v="-24160"/>
    <x v="9"/>
    <n v="9"/>
    <x v="6"/>
    <s v="2013"/>
    <n v="0.12"/>
  </r>
  <r>
    <x v="3"/>
    <x v="3"/>
    <x v="0"/>
    <x v="3"/>
    <n v="2156"/>
    <n v="3"/>
    <n v="125"/>
    <n v="269500"/>
    <n v="32340"/>
    <n v="237160"/>
    <n v="258720"/>
    <n v="-21560"/>
    <x v="10"/>
    <n v="10"/>
    <x v="7"/>
    <s v="2014"/>
    <n v="0.12"/>
  </r>
  <r>
    <x v="1"/>
    <x v="0"/>
    <x v="0"/>
    <x v="3"/>
    <n v="2689"/>
    <n v="3"/>
    <n v="15"/>
    <n v="40335"/>
    <n v="4840.2"/>
    <n v="35494.800000000003"/>
    <n v="26890"/>
    <n v="8604.8000000000029"/>
    <x v="15"/>
    <n v="11"/>
    <x v="9"/>
    <s v="2014"/>
    <n v="0.12"/>
  </r>
  <r>
    <x v="1"/>
    <x v="4"/>
    <x v="1"/>
    <x v="3"/>
    <n v="677"/>
    <n v="5"/>
    <n v="15"/>
    <n v="10155"/>
    <n v="1218.5999999999999"/>
    <n v="8936.4"/>
    <n v="6770"/>
    <n v="2166.3999999999996"/>
    <x v="3"/>
    <n v="3"/>
    <x v="3"/>
    <s v="2014"/>
    <n v="0.12"/>
  </r>
  <r>
    <x v="4"/>
    <x v="2"/>
    <x v="1"/>
    <x v="3"/>
    <n v="1773"/>
    <n v="5"/>
    <n v="300"/>
    <n v="531900"/>
    <n v="63828"/>
    <n v="468072"/>
    <n v="443250"/>
    <n v="24822"/>
    <x v="13"/>
    <n v="4"/>
    <x v="10"/>
    <s v="2014"/>
    <n v="0.12"/>
  </r>
  <r>
    <x v="0"/>
    <x v="3"/>
    <x v="1"/>
    <x v="3"/>
    <n v="2420"/>
    <n v="5"/>
    <n v="7"/>
    <n v="16940"/>
    <n v="2032.8"/>
    <n v="14907.2"/>
    <n v="12100"/>
    <n v="2807.2000000000007"/>
    <x v="6"/>
    <n v="9"/>
    <x v="6"/>
    <s v="2014"/>
    <n v="0.12"/>
  </r>
  <r>
    <x v="0"/>
    <x v="0"/>
    <x v="1"/>
    <x v="3"/>
    <n v="2734"/>
    <n v="5"/>
    <n v="7"/>
    <n v="19138"/>
    <n v="2296.56"/>
    <n v="16841.439999999999"/>
    <n v="13670"/>
    <n v="3171.4399999999987"/>
    <x v="10"/>
    <n v="10"/>
    <x v="7"/>
    <s v="2014"/>
    <n v="0.12"/>
  </r>
  <r>
    <x v="0"/>
    <x v="3"/>
    <x v="1"/>
    <x v="3"/>
    <n v="1715"/>
    <n v="5"/>
    <n v="20"/>
    <n v="34300"/>
    <n v="4116"/>
    <n v="30184"/>
    <n v="17150"/>
    <n v="13034"/>
    <x v="7"/>
    <n v="10"/>
    <x v="7"/>
    <s v="2013"/>
    <n v="0.12"/>
  </r>
  <r>
    <x v="4"/>
    <x v="2"/>
    <x v="1"/>
    <x v="3"/>
    <n v="1186"/>
    <n v="5"/>
    <n v="300"/>
    <n v="355800"/>
    <n v="42696"/>
    <n v="313104"/>
    <n v="296500"/>
    <n v="16604"/>
    <x v="12"/>
    <n v="12"/>
    <x v="2"/>
    <s v="2013"/>
    <n v="0.12"/>
  </r>
  <r>
    <x v="4"/>
    <x v="4"/>
    <x v="2"/>
    <x v="3"/>
    <n v="3495"/>
    <n v="10"/>
    <n v="300"/>
    <n v="1048500"/>
    <n v="125820"/>
    <n v="922680"/>
    <n v="873750"/>
    <n v="48930"/>
    <x v="0"/>
    <n v="1"/>
    <x v="0"/>
    <s v="2014"/>
    <n v="0.12"/>
  </r>
  <r>
    <x v="0"/>
    <x v="3"/>
    <x v="2"/>
    <x v="3"/>
    <n v="886"/>
    <n v="10"/>
    <n v="350"/>
    <n v="310100"/>
    <n v="37212"/>
    <n v="272888"/>
    <n v="230360"/>
    <n v="42528"/>
    <x v="1"/>
    <n v="6"/>
    <x v="1"/>
    <s v="2014"/>
    <n v="0.12"/>
  </r>
  <r>
    <x v="3"/>
    <x v="3"/>
    <x v="2"/>
    <x v="3"/>
    <n v="2156"/>
    <n v="10"/>
    <n v="125"/>
    <n v="269500"/>
    <n v="32340"/>
    <n v="237160"/>
    <n v="258720"/>
    <n v="-21560"/>
    <x v="10"/>
    <n v="10"/>
    <x v="7"/>
    <s v="2014"/>
    <n v="0.12"/>
  </r>
  <r>
    <x v="0"/>
    <x v="3"/>
    <x v="2"/>
    <x v="3"/>
    <n v="905"/>
    <n v="10"/>
    <n v="20"/>
    <n v="18100"/>
    <n v="2172"/>
    <n v="15928"/>
    <n v="9050"/>
    <n v="6878"/>
    <x v="10"/>
    <n v="10"/>
    <x v="7"/>
    <s v="2014"/>
    <n v="0.12"/>
  </r>
  <r>
    <x v="0"/>
    <x v="3"/>
    <x v="2"/>
    <x v="3"/>
    <n v="1715"/>
    <n v="10"/>
    <n v="20"/>
    <n v="34300"/>
    <n v="4116"/>
    <n v="30184"/>
    <n v="17150"/>
    <n v="13034"/>
    <x v="7"/>
    <n v="10"/>
    <x v="7"/>
    <s v="2013"/>
    <n v="0.12"/>
  </r>
  <r>
    <x v="0"/>
    <x v="2"/>
    <x v="2"/>
    <x v="3"/>
    <n v="1594"/>
    <n v="10"/>
    <n v="350"/>
    <n v="557900"/>
    <n v="66948"/>
    <n v="490952"/>
    <n v="414440"/>
    <n v="76512"/>
    <x v="15"/>
    <n v="11"/>
    <x v="9"/>
    <s v="2014"/>
    <n v="0.12"/>
  </r>
  <r>
    <x v="4"/>
    <x v="1"/>
    <x v="2"/>
    <x v="3"/>
    <n v="1359"/>
    <n v="10"/>
    <n v="300"/>
    <n v="407700"/>
    <n v="48924"/>
    <n v="358776"/>
    <n v="339750"/>
    <n v="19026"/>
    <x v="15"/>
    <n v="11"/>
    <x v="9"/>
    <s v="2014"/>
    <n v="0.12"/>
  </r>
  <r>
    <x v="4"/>
    <x v="3"/>
    <x v="2"/>
    <x v="3"/>
    <n v="2150"/>
    <n v="10"/>
    <n v="300"/>
    <n v="645000"/>
    <n v="77400"/>
    <n v="567600"/>
    <n v="537500"/>
    <n v="30100"/>
    <x v="15"/>
    <n v="11"/>
    <x v="9"/>
    <s v="2014"/>
    <n v="0.12"/>
  </r>
  <r>
    <x v="0"/>
    <x v="3"/>
    <x v="2"/>
    <x v="3"/>
    <n v="1197"/>
    <n v="10"/>
    <n v="350"/>
    <n v="418950"/>
    <n v="50274"/>
    <n v="368676"/>
    <n v="311220"/>
    <n v="57456"/>
    <x v="15"/>
    <n v="11"/>
    <x v="9"/>
    <s v="2014"/>
    <n v="0.12"/>
  </r>
  <r>
    <x v="1"/>
    <x v="3"/>
    <x v="2"/>
    <x v="3"/>
    <n v="380"/>
    <n v="10"/>
    <n v="15"/>
    <n v="5700"/>
    <n v="684"/>
    <n v="5016"/>
    <n v="3800"/>
    <n v="1216"/>
    <x v="12"/>
    <n v="12"/>
    <x v="2"/>
    <s v="2013"/>
    <n v="0.12"/>
  </r>
  <r>
    <x v="0"/>
    <x v="3"/>
    <x v="2"/>
    <x v="3"/>
    <n v="1233"/>
    <n v="10"/>
    <n v="20"/>
    <n v="24660"/>
    <n v="2959.2"/>
    <n v="21700.799999999999"/>
    <n v="12330"/>
    <n v="9370.7999999999993"/>
    <x v="2"/>
    <n v="12"/>
    <x v="2"/>
    <s v="2014"/>
    <n v="0.12"/>
  </r>
  <r>
    <x v="0"/>
    <x v="3"/>
    <x v="3"/>
    <x v="3"/>
    <n v="1395"/>
    <n v="120"/>
    <n v="350"/>
    <n v="488250"/>
    <n v="58590"/>
    <n v="429660"/>
    <n v="362700"/>
    <n v="66960"/>
    <x v="4"/>
    <n v="7"/>
    <x v="4"/>
    <s v="2014"/>
    <n v="0.12"/>
  </r>
  <r>
    <x v="0"/>
    <x v="4"/>
    <x v="3"/>
    <x v="3"/>
    <n v="986"/>
    <n v="120"/>
    <n v="350"/>
    <n v="345100"/>
    <n v="41412"/>
    <n v="303688"/>
    <n v="256360"/>
    <n v="47328"/>
    <x v="10"/>
    <n v="10"/>
    <x v="7"/>
    <s v="2014"/>
    <n v="0.12"/>
  </r>
  <r>
    <x v="0"/>
    <x v="3"/>
    <x v="3"/>
    <x v="3"/>
    <n v="905"/>
    <n v="120"/>
    <n v="20"/>
    <n v="18100"/>
    <n v="2172"/>
    <n v="15928"/>
    <n v="9050"/>
    <n v="6878"/>
    <x v="10"/>
    <n v="10"/>
    <x v="7"/>
    <s v="2014"/>
    <n v="0.12"/>
  </r>
  <r>
    <x v="2"/>
    <x v="0"/>
    <x v="4"/>
    <x v="3"/>
    <n v="2109"/>
    <n v="250"/>
    <n v="12"/>
    <n v="25308"/>
    <n v="3036.96"/>
    <n v="22271.040000000001"/>
    <n v="6327"/>
    <n v="15944.04"/>
    <x v="14"/>
    <n v="5"/>
    <x v="11"/>
    <s v="2014"/>
    <n v="0.12"/>
  </r>
  <r>
    <x v="1"/>
    <x v="2"/>
    <x v="4"/>
    <x v="3"/>
    <n v="3874.5"/>
    <n v="250"/>
    <n v="15"/>
    <n v="58117.5"/>
    <n v="6974.0999999999995"/>
    <n v="51143.399999999994"/>
    <n v="38745"/>
    <n v="12398.399999999998"/>
    <x v="4"/>
    <n v="7"/>
    <x v="4"/>
    <s v="2014"/>
    <n v="0.12"/>
  </r>
  <r>
    <x v="0"/>
    <x v="0"/>
    <x v="4"/>
    <x v="3"/>
    <n v="623"/>
    <n v="250"/>
    <n v="350"/>
    <n v="218050"/>
    <n v="26166"/>
    <n v="191884"/>
    <n v="161980"/>
    <n v="29904"/>
    <x v="9"/>
    <n v="9"/>
    <x v="6"/>
    <s v="2013"/>
    <n v="0.12"/>
  </r>
  <r>
    <x v="0"/>
    <x v="4"/>
    <x v="4"/>
    <x v="3"/>
    <n v="986"/>
    <n v="250"/>
    <n v="350"/>
    <n v="345100"/>
    <n v="41412"/>
    <n v="303688"/>
    <n v="256360"/>
    <n v="47328"/>
    <x v="10"/>
    <n v="10"/>
    <x v="7"/>
    <s v="2014"/>
    <n v="0.12"/>
  </r>
  <r>
    <x v="3"/>
    <x v="4"/>
    <x v="4"/>
    <x v="3"/>
    <n v="2387"/>
    <n v="250"/>
    <n v="125"/>
    <n v="298375"/>
    <n v="35805"/>
    <n v="262570"/>
    <n v="286440"/>
    <n v="-23870"/>
    <x v="15"/>
    <n v="11"/>
    <x v="9"/>
    <s v="2014"/>
    <n v="0.12"/>
  </r>
  <r>
    <x v="0"/>
    <x v="3"/>
    <x v="4"/>
    <x v="3"/>
    <n v="1233"/>
    <n v="250"/>
    <n v="20"/>
    <n v="24660"/>
    <n v="2959.2"/>
    <n v="21700.799999999999"/>
    <n v="12330"/>
    <n v="9370.7999999999993"/>
    <x v="2"/>
    <n v="12"/>
    <x v="2"/>
    <s v="2014"/>
    <n v="0.12"/>
  </r>
  <r>
    <x v="0"/>
    <x v="4"/>
    <x v="5"/>
    <x v="3"/>
    <n v="270"/>
    <n v="260"/>
    <n v="350"/>
    <n v="94500"/>
    <n v="11340"/>
    <n v="83160"/>
    <n v="70200"/>
    <n v="12960"/>
    <x v="8"/>
    <n v="2"/>
    <x v="8"/>
    <s v="2014"/>
    <n v="0.12"/>
  </r>
  <r>
    <x v="0"/>
    <x v="2"/>
    <x v="5"/>
    <x v="3"/>
    <n v="3421.5"/>
    <n v="260"/>
    <n v="7"/>
    <n v="23950.5"/>
    <n v="2874.06"/>
    <n v="21076.44"/>
    <n v="17107.5"/>
    <n v="3968.9399999999987"/>
    <x v="4"/>
    <n v="7"/>
    <x v="4"/>
    <s v="2014"/>
    <n v="0.12"/>
  </r>
  <r>
    <x v="0"/>
    <x v="0"/>
    <x v="5"/>
    <x v="3"/>
    <n v="2734"/>
    <n v="260"/>
    <n v="7"/>
    <n v="19138"/>
    <n v="2296.56"/>
    <n v="16841.439999999999"/>
    <n v="13670"/>
    <n v="3171.4399999999987"/>
    <x v="10"/>
    <n v="10"/>
    <x v="7"/>
    <s v="2014"/>
    <n v="0.12"/>
  </r>
  <r>
    <x v="1"/>
    <x v="4"/>
    <x v="5"/>
    <x v="3"/>
    <n v="2548"/>
    <n v="260"/>
    <n v="15"/>
    <n v="38220"/>
    <n v="4586.3999999999996"/>
    <n v="33633.599999999999"/>
    <n v="25480"/>
    <n v="8153.5999999999985"/>
    <x v="11"/>
    <n v="11"/>
    <x v="9"/>
    <s v="2013"/>
    <n v="0.12"/>
  </r>
  <r>
    <x v="0"/>
    <x v="2"/>
    <x v="0"/>
    <x v="3"/>
    <n v="2521.5"/>
    <n v="3"/>
    <n v="20"/>
    <n v="50430"/>
    <n v="6051.6"/>
    <n v="44378.399999999994"/>
    <n v="25215"/>
    <n v="19163.399999999998"/>
    <x v="0"/>
    <n v="1"/>
    <x v="0"/>
    <s v="2014"/>
    <n v="0.12000000000000001"/>
  </r>
  <r>
    <x v="2"/>
    <x v="3"/>
    <x v="1"/>
    <x v="3"/>
    <n v="2661"/>
    <n v="5"/>
    <n v="12"/>
    <n v="31932"/>
    <n v="3831.84"/>
    <n v="28100.16"/>
    <n v="7983"/>
    <n v="20117.16"/>
    <x v="14"/>
    <n v="5"/>
    <x v="11"/>
    <s v="2014"/>
    <n v="0.12000000000000001"/>
  </r>
  <r>
    <x v="0"/>
    <x v="1"/>
    <x v="2"/>
    <x v="3"/>
    <n v="1531"/>
    <n v="10"/>
    <n v="20"/>
    <n v="30620"/>
    <n v="3674.4"/>
    <n v="26945.599999999999"/>
    <n v="15310"/>
    <n v="11635.599999999999"/>
    <x v="2"/>
    <n v="12"/>
    <x v="2"/>
    <s v="2014"/>
    <n v="0.12000000000000001"/>
  </r>
  <r>
    <x v="0"/>
    <x v="2"/>
    <x v="4"/>
    <x v="3"/>
    <n v="1491"/>
    <n v="250"/>
    <n v="7"/>
    <n v="10437"/>
    <n v="1252.44"/>
    <n v="9184.56"/>
    <n v="7455"/>
    <n v="1729.5599999999995"/>
    <x v="3"/>
    <n v="3"/>
    <x v="3"/>
    <s v="2014"/>
    <n v="0.12000000000000001"/>
  </r>
  <r>
    <x v="0"/>
    <x v="1"/>
    <x v="4"/>
    <x v="3"/>
    <n v="1531"/>
    <n v="250"/>
    <n v="20"/>
    <n v="30620"/>
    <n v="3674.4"/>
    <n v="26945.599999999999"/>
    <n v="15310"/>
    <n v="11635.599999999999"/>
    <x v="2"/>
    <n v="12"/>
    <x v="2"/>
    <s v="2014"/>
    <n v="0.12000000000000001"/>
  </r>
  <r>
    <x v="2"/>
    <x v="0"/>
    <x v="5"/>
    <x v="3"/>
    <n v="2761"/>
    <n v="260"/>
    <n v="12"/>
    <n v="33132"/>
    <n v="3975.84"/>
    <n v="29156.16"/>
    <n v="8283"/>
    <n v="20873.16"/>
    <x v="9"/>
    <n v="9"/>
    <x v="6"/>
    <s v="2013"/>
    <n v="0.12000000000000001"/>
  </r>
  <r>
    <x v="1"/>
    <x v="4"/>
    <x v="0"/>
    <x v="3"/>
    <n v="2567"/>
    <n v="3"/>
    <n v="15"/>
    <n v="38505"/>
    <n v="5005.6499999999996"/>
    <n v="33499.35"/>
    <n v="25670"/>
    <n v="7829.3499999999985"/>
    <x v="1"/>
    <n v="6"/>
    <x v="1"/>
    <s v="2014"/>
    <n v="0.12999999999999998"/>
  </r>
  <r>
    <x v="1"/>
    <x v="4"/>
    <x v="4"/>
    <x v="3"/>
    <n v="2567"/>
    <n v="250"/>
    <n v="15"/>
    <n v="38505"/>
    <n v="5005.6499999999996"/>
    <n v="33499.35"/>
    <n v="25670"/>
    <n v="7829.3499999999985"/>
    <x v="1"/>
    <n v="6"/>
    <x v="1"/>
    <s v="2014"/>
    <n v="0.12999999999999998"/>
  </r>
  <r>
    <x v="0"/>
    <x v="0"/>
    <x v="0"/>
    <x v="3"/>
    <n v="923"/>
    <n v="3"/>
    <n v="350"/>
    <n v="323050"/>
    <n v="41996.5"/>
    <n v="281053.5"/>
    <n v="239980"/>
    <n v="41073.5"/>
    <x v="3"/>
    <n v="3"/>
    <x v="3"/>
    <s v="2014"/>
    <n v="0.13"/>
  </r>
  <r>
    <x v="0"/>
    <x v="2"/>
    <x v="0"/>
    <x v="3"/>
    <n v="1790"/>
    <n v="3"/>
    <n v="350"/>
    <n v="626500"/>
    <n v="81445"/>
    <n v="545055"/>
    <n v="465400"/>
    <n v="79655"/>
    <x v="3"/>
    <n v="3"/>
    <x v="3"/>
    <s v="2014"/>
    <n v="0.13"/>
  </r>
  <r>
    <x v="0"/>
    <x v="1"/>
    <x v="0"/>
    <x v="3"/>
    <n v="442"/>
    <n v="3"/>
    <n v="20"/>
    <n v="8840"/>
    <n v="1149.2"/>
    <n v="7690.8"/>
    <n v="4420"/>
    <n v="3270.8"/>
    <x v="9"/>
    <n v="9"/>
    <x v="6"/>
    <s v="2013"/>
    <n v="0.13"/>
  </r>
  <r>
    <x v="0"/>
    <x v="4"/>
    <x v="1"/>
    <x v="3"/>
    <n v="982.5"/>
    <n v="5"/>
    <n v="350"/>
    <n v="343875"/>
    <n v="44703.75"/>
    <n v="299171.25"/>
    <n v="255450"/>
    <n v="43721.25"/>
    <x v="0"/>
    <n v="1"/>
    <x v="0"/>
    <s v="2014"/>
    <n v="0.13"/>
  </r>
  <r>
    <x v="0"/>
    <x v="4"/>
    <x v="1"/>
    <x v="3"/>
    <n v="1298"/>
    <n v="5"/>
    <n v="7"/>
    <n v="9086"/>
    <n v="1181.18"/>
    <n v="7904.82"/>
    <n v="6490"/>
    <n v="1414.8199999999997"/>
    <x v="8"/>
    <n v="2"/>
    <x v="8"/>
    <s v="2014"/>
    <n v="0.13"/>
  </r>
  <r>
    <x v="2"/>
    <x v="3"/>
    <x v="1"/>
    <x v="3"/>
    <n v="604"/>
    <n v="5"/>
    <n v="12"/>
    <n v="7248"/>
    <n v="942.24"/>
    <n v="6305.76"/>
    <n v="1812"/>
    <n v="4493.76"/>
    <x v="1"/>
    <n v="6"/>
    <x v="1"/>
    <s v="2014"/>
    <n v="0.13"/>
  </r>
  <r>
    <x v="0"/>
    <x v="3"/>
    <x v="1"/>
    <x v="3"/>
    <n v="2255"/>
    <n v="5"/>
    <n v="20"/>
    <n v="45100"/>
    <n v="5863"/>
    <n v="39237"/>
    <n v="22550"/>
    <n v="16687"/>
    <x v="4"/>
    <n v="7"/>
    <x v="4"/>
    <s v="2014"/>
    <n v="0.13"/>
  </r>
  <r>
    <x v="0"/>
    <x v="0"/>
    <x v="1"/>
    <x v="3"/>
    <n v="1249"/>
    <n v="5"/>
    <n v="20"/>
    <n v="24980"/>
    <n v="3247.4"/>
    <n v="21732.6"/>
    <n v="12490"/>
    <n v="9242.5999999999985"/>
    <x v="10"/>
    <n v="10"/>
    <x v="7"/>
    <s v="2014"/>
    <n v="0.13"/>
  </r>
  <r>
    <x v="0"/>
    <x v="4"/>
    <x v="2"/>
    <x v="3"/>
    <n v="1438.5"/>
    <n v="10"/>
    <n v="7"/>
    <n v="10069.5"/>
    <n v="1309.0350000000001"/>
    <n v="8760.4650000000001"/>
    <n v="7192.5"/>
    <n v="1567.9649999999992"/>
    <x v="0"/>
    <n v="1"/>
    <x v="0"/>
    <s v="2014"/>
    <n v="0.13"/>
  </r>
  <r>
    <x v="4"/>
    <x v="1"/>
    <x v="2"/>
    <x v="3"/>
    <n v="807"/>
    <n v="10"/>
    <n v="300"/>
    <n v="242100"/>
    <n v="31473"/>
    <n v="210627"/>
    <n v="201750"/>
    <n v="8877"/>
    <x v="0"/>
    <n v="1"/>
    <x v="0"/>
    <s v="2014"/>
    <n v="0.13"/>
  </r>
  <r>
    <x v="0"/>
    <x v="4"/>
    <x v="2"/>
    <x v="3"/>
    <n v="2641"/>
    <n v="10"/>
    <n v="20"/>
    <n v="52820"/>
    <n v="6866.6"/>
    <n v="45953.4"/>
    <n v="26410"/>
    <n v="19543.400000000001"/>
    <x v="8"/>
    <n v="2"/>
    <x v="8"/>
    <s v="2014"/>
    <n v="0.13"/>
  </r>
  <r>
    <x v="0"/>
    <x v="1"/>
    <x v="2"/>
    <x v="3"/>
    <n v="2708"/>
    <n v="10"/>
    <n v="20"/>
    <n v="54160"/>
    <n v="7040.8"/>
    <n v="47119.199999999997"/>
    <n v="27080"/>
    <n v="20039.199999999997"/>
    <x v="8"/>
    <n v="2"/>
    <x v="8"/>
    <s v="2014"/>
    <n v="0.13"/>
  </r>
  <r>
    <x v="0"/>
    <x v="0"/>
    <x v="2"/>
    <x v="3"/>
    <n v="2632"/>
    <n v="10"/>
    <n v="350"/>
    <n v="921200"/>
    <n v="119756"/>
    <n v="801444"/>
    <n v="684320"/>
    <n v="117124"/>
    <x v="1"/>
    <n v="6"/>
    <x v="1"/>
    <s v="2014"/>
    <n v="0.13"/>
  </r>
  <r>
    <x v="3"/>
    <x v="0"/>
    <x v="2"/>
    <x v="3"/>
    <n v="1583"/>
    <n v="10"/>
    <n v="125"/>
    <n v="197875"/>
    <n v="25723.75"/>
    <n v="172151.25"/>
    <n v="189960"/>
    <n v="-17808.75"/>
    <x v="1"/>
    <n v="6"/>
    <x v="1"/>
    <s v="2014"/>
    <n v="0.13"/>
  </r>
  <r>
    <x v="2"/>
    <x v="3"/>
    <x v="2"/>
    <x v="3"/>
    <n v="571"/>
    <n v="10"/>
    <n v="12"/>
    <n v="6852"/>
    <n v="890.76"/>
    <n v="5961.24"/>
    <n v="1713"/>
    <n v="4248.24"/>
    <x v="4"/>
    <n v="7"/>
    <x v="4"/>
    <s v="2014"/>
    <n v="0.13"/>
  </r>
  <r>
    <x v="0"/>
    <x v="2"/>
    <x v="2"/>
    <x v="3"/>
    <n v="2696"/>
    <n v="10"/>
    <n v="7"/>
    <n v="18872"/>
    <n v="2453.36"/>
    <n v="16418.64"/>
    <n v="13480"/>
    <n v="2938.6399999999994"/>
    <x v="5"/>
    <n v="8"/>
    <x v="5"/>
    <s v="2014"/>
    <n v="0.13"/>
  </r>
  <r>
    <x v="1"/>
    <x v="0"/>
    <x v="2"/>
    <x v="3"/>
    <n v="1565"/>
    <n v="10"/>
    <n v="15"/>
    <n v="23475"/>
    <n v="3051.75"/>
    <n v="20423.25"/>
    <n v="15650"/>
    <n v="4773.25"/>
    <x v="10"/>
    <n v="10"/>
    <x v="7"/>
    <s v="2014"/>
    <n v="0.13"/>
  </r>
  <r>
    <x v="0"/>
    <x v="0"/>
    <x v="2"/>
    <x v="3"/>
    <n v="1249"/>
    <n v="10"/>
    <n v="20"/>
    <n v="24980"/>
    <n v="3247.4"/>
    <n v="21732.6"/>
    <n v="12490"/>
    <n v="9242.5999999999985"/>
    <x v="10"/>
    <n v="10"/>
    <x v="7"/>
    <s v="2014"/>
    <n v="0.13"/>
  </r>
  <r>
    <x v="0"/>
    <x v="1"/>
    <x v="2"/>
    <x v="3"/>
    <n v="357"/>
    <n v="10"/>
    <n v="350"/>
    <n v="124950"/>
    <n v="16243.5"/>
    <n v="108706.5"/>
    <n v="92820"/>
    <n v="15886.5"/>
    <x v="15"/>
    <n v="11"/>
    <x v="9"/>
    <s v="2014"/>
    <n v="0.13"/>
  </r>
  <r>
    <x v="2"/>
    <x v="1"/>
    <x v="2"/>
    <x v="3"/>
    <n v="1013"/>
    <n v="10"/>
    <n v="12"/>
    <n v="12156"/>
    <n v="1580.28"/>
    <n v="10575.72"/>
    <n v="3039"/>
    <n v="7536.7199999999993"/>
    <x v="2"/>
    <n v="12"/>
    <x v="2"/>
    <s v="2014"/>
    <n v="0.13"/>
  </r>
  <r>
    <x v="1"/>
    <x v="2"/>
    <x v="3"/>
    <x v="3"/>
    <n v="3997.5"/>
    <n v="120"/>
    <n v="15"/>
    <n v="59962.5"/>
    <n v="7795.125"/>
    <n v="52167.375"/>
    <n v="39975"/>
    <n v="12192.375"/>
    <x v="0"/>
    <n v="1"/>
    <x v="0"/>
    <s v="2014"/>
    <n v="0.13"/>
  </r>
  <r>
    <x v="0"/>
    <x v="0"/>
    <x v="3"/>
    <x v="3"/>
    <n v="2632"/>
    <n v="120"/>
    <n v="350"/>
    <n v="921200"/>
    <n v="119756"/>
    <n v="801444"/>
    <n v="684320"/>
    <n v="117124"/>
    <x v="1"/>
    <n v="6"/>
    <x v="1"/>
    <s v="2014"/>
    <n v="0.13"/>
  </r>
  <r>
    <x v="0"/>
    <x v="2"/>
    <x v="3"/>
    <x v="3"/>
    <n v="1190"/>
    <n v="120"/>
    <n v="7"/>
    <n v="8330"/>
    <n v="1082.9000000000001"/>
    <n v="7247.1"/>
    <n v="5950"/>
    <n v="1297.1000000000004"/>
    <x v="1"/>
    <n v="6"/>
    <x v="1"/>
    <s v="2014"/>
    <n v="0.13"/>
  </r>
  <r>
    <x v="2"/>
    <x v="3"/>
    <x v="3"/>
    <x v="3"/>
    <n v="604"/>
    <n v="120"/>
    <n v="12"/>
    <n v="7248"/>
    <n v="942.24"/>
    <n v="6305.76"/>
    <n v="1812"/>
    <n v="4493.76"/>
    <x v="1"/>
    <n v="6"/>
    <x v="1"/>
    <s v="2014"/>
    <n v="0.13"/>
  </r>
  <r>
    <x v="1"/>
    <x v="1"/>
    <x v="3"/>
    <x v="3"/>
    <n v="660"/>
    <n v="120"/>
    <n v="15"/>
    <n v="9900"/>
    <n v="1287"/>
    <n v="8613"/>
    <n v="6600"/>
    <n v="2013"/>
    <x v="9"/>
    <n v="9"/>
    <x v="6"/>
    <s v="2013"/>
    <n v="0.13"/>
  </r>
  <r>
    <x v="2"/>
    <x v="3"/>
    <x v="3"/>
    <x v="3"/>
    <n v="410"/>
    <n v="120"/>
    <n v="12"/>
    <n v="4920"/>
    <n v="639.6"/>
    <n v="4280.3999999999996"/>
    <n v="1230"/>
    <n v="3050.3999999999996"/>
    <x v="10"/>
    <n v="10"/>
    <x v="7"/>
    <s v="2014"/>
    <n v="0.13"/>
  </r>
  <r>
    <x v="4"/>
    <x v="3"/>
    <x v="3"/>
    <x v="3"/>
    <n v="2605"/>
    <n v="120"/>
    <n v="300"/>
    <n v="781500"/>
    <n v="101595"/>
    <n v="679905"/>
    <n v="651250"/>
    <n v="28655"/>
    <x v="11"/>
    <n v="11"/>
    <x v="9"/>
    <s v="2013"/>
    <n v="0.13"/>
  </r>
  <r>
    <x v="2"/>
    <x v="1"/>
    <x v="3"/>
    <x v="3"/>
    <n v="1013"/>
    <n v="120"/>
    <n v="12"/>
    <n v="12156"/>
    <n v="1580.28"/>
    <n v="10575.72"/>
    <n v="3039"/>
    <n v="7536.7199999999993"/>
    <x v="2"/>
    <n v="12"/>
    <x v="2"/>
    <s v="2014"/>
    <n v="0.13"/>
  </r>
  <r>
    <x v="3"/>
    <x v="0"/>
    <x v="4"/>
    <x v="3"/>
    <n v="1583"/>
    <n v="250"/>
    <n v="125"/>
    <n v="197875"/>
    <n v="25723.75"/>
    <n v="172151.25"/>
    <n v="189960"/>
    <n v="-17808.75"/>
    <x v="1"/>
    <n v="6"/>
    <x v="1"/>
    <s v="2014"/>
    <n v="0.13"/>
  </r>
  <r>
    <x v="1"/>
    <x v="0"/>
    <x v="4"/>
    <x v="3"/>
    <n v="1565"/>
    <n v="250"/>
    <n v="15"/>
    <n v="23475"/>
    <n v="3051.75"/>
    <n v="20423.25"/>
    <n v="15650"/>
    <n v="4773.25"/>
    <x v="10"/>
    <n v="10"/>
    <x v="7"/>
    <s v="2014"/>
    <n v="0.13"/>
  </r>
  <r>
    <x v="3"/>
    <x v="0"/>
    <x v="5"/>
    <x v="3"/>
    <n v="1659"/>
    <n v="260"/>
    <n v="125"/>
    <n v="207375"/>
    <n v="26958.75"/>
    <n v="180416.25"/>
    <n v="199080"/>
    <n v="-18663.75"/>
    <x v="0"/>
    <n v="1"/>
    <x v="0"/>
    <s v="2014"/>
    <n v="0.13"/>
  </r>
  <r>
    <x v="0"/>
    <x v="2"/>
    <x v="5"/>
    <x v="3"/>
    <n v="1190"/>
    <n v="260"/>
    <n v="7"/>
    <n v="8330"/>
    <n v="1082.9000000000001"/>
    <n v="7247.1"/>
    <n v="5950"/>
    <n v="1297.1000000000004"/>
    <x v="1"/>
    <n v="6"/>
    <x v="1"/>
    <s v="2014"/>
    <n v="0.13"/>
  </r>
  <r>
    <x v="2"/>
    <x v="3"/>
    <x v="5"/>
    <x v="3"/>
    <n v="410"/>
    <n v="260"/>
    <n v="12"/>
    <n v="4920"/>
    <n v="639.6"/>
    <n v="4280.3999999999996"/>
    <n v="1230"/>
    <n v="3050.3999999999996"/>
    <x v="10"/>
    <n v="10"/>
    <x v="7"/>
    <s v="2014"/>
    <n v="0.13"/>
  </r>
  <r>
    <x v="2"/>
    <x v="1"/>
    <x v="5"/>
    <x v="3"/>
    <n v="1770"/>
    <n v="260"/>
    <n v="12"/>
    <n v="21240"/>
    <n v="2761.2"/>
    <n v="18478.8"/>
    <n v="5310"/>
    <n v="13168.8"/>
    <x v="12"/>
    <n v="12"/>
    <x v="2"/>
    <s v="2013"/>
    <n v="0.13"/>
  </r>
  <r>
    <x v="0"/>
    <x v="3"/>
    <x v="0"/>
    <x v="3"/>
    <n v="2579"/>
    <n v="3"/>
    <n v="20"/>
    <n v="51580"/>
    <n v="7221.2"/>
    <n v="44358.8"/>
    <n v="25790"/>
    <n v="18568.800000000003"/>
    <x v="13"/>
    <n v="4"/>
    <x v="10"/>
    <s v="2014"/>
    <n v="0.13999999999999999"/>
  </r>
  <r>
    <x v="0"/>
    <x v="4"/>
    <x v="0"/>
    <x v="3"/>
    <n v="1743"/>
    <n v="3"/>
    <n v="20"/>
    <n v="34860"/>
    <n v="4880.3999999999996"/>
    <n v="29979.599999999999"/>
    <n v="17430"/>
    <n v="12549.599999999999"/>
    <x v="14"/>
    <n v="5"/>
    <x v="11"/>
    <s v="2014"/>
    <n v="0.13999999999999999"/>
  </r>
  <r>
    <x v="0"/>
    <x v="4"/>
    <x v="0"/>
    <x v="3"/>
    <n v="2996"/>
    <n v="3"/>
    <n v="7"/>
    <n v="20972"/>
    <n v="2936.08"/>
    <n v="18035.919999999998"/>
    <n v="14980"/>
    <n v="3055.9199999999983"/>
    <x v="7"/>
    <n v="10"/>
    <x v="7"/>
    <s v="2013"/>
    <n v="0.13999999999999999"/>
  </r>
  <r>
    <x v="0"/>
    <x v="1"/>
    <x v="0"/>
    <x v="3"/>
    <n v="280"/>
    <n v="3"/>
    <n v="7"/>
    <n v="1960"/>
    <n v="274.39999999999998"/>
    <n v="1685.6"/>
    <n v="1400"/>
    <n v="285.59999999999991"/>
    <x v="2"/>
    <n v="12"/>
    <x v="2"/>
    <s v="2014"/>
    <n v="0.13999999999999999"/>
  </r>
  <r>
    <x v="0"/>
    <x v="2"/>
    <x v="1"/>
    <x v="3"/>
    <n v="293"/>
    <n v="5"/>
    <n v="7"/>
    <n v="2051"/>
    <n v="287.14"/>
    <n v="1763.8600000000001"/>
    <n v="1465"/>
    <n v="298.86000000000013"/>
    <x v="8"/>
    <n v="2"/>
    <x v="8"/>
    <s v="2014"/>
    <n v="0.13999999999999999"/>
  </r>
  <r>
    <x v="0"/>
    <x v="4"/>
    <x v="1"/>
    <x v="3"/>
    <n v="2996"/>
    <n v="5"/>
    <n v="7"/>
    <n v="20972"/>
    <n v="2936.08"/>
    <n v="18035.919999999998"/>
    <n v="14980"/>
    <n v="3055.9199999999983"/>
    <x v="7"/>
    <n v="10"/>
    <x v="7"/>
    <s v="2013"/>
    <n v="0.13999999999999999"/>
  </r>
  <r>
    <x v="1"/>
    <x v="1"/>
    <x v="2"/>
    <x v="3"/>
    <n v="278"/>
    <n v="10"/>
    <n v="15"/>
    <n v="4170"/>
    <n v="583.79999999999995"/>
    <n v="3586.2"/>
    <n v="2780"/>
    <n v="806.19999999999982"/>
    <x v="8"/>
    <n v="2"/>
    <x v="8"/>
    <s v="2014"/>
    <n v="0.13999999999999999"/>
  </r>
  <r>
    <x v="0"/>
    <x v="0"/>
    <x v="2"/>
    <x v="3"/>
    <n v="2428"/>
    <n v="10"/>
    <n v="20"/>
    <n v="48560"/>
    <n v="6798.4"/>
    <n v="41761.599999999999"/>
    <n v="24280"/>
    <n v="17481.599999999999"/>
    <x v="3"/>
    <n v="3"/>
    <x v="3"/>
    <s v="2014"/>
    <n v="0.13999999999999999"/>
  </r>
  <r>
    <x v="1"/>
    <x v="4"/>
    <x v="2"/>
    <x v="3"/>
    <n v="1767"/>
    <n v="10"/>
    <n v="15"/>
    <n v="26505"/>
    <n v="3710.7"/>
    <n v="22794.3"/>
    <n v="17670"/>
    <n v="5124.2999999999993"/>
    <x v="6"/>
    <n v="9"/>
    <x v="6"/>
    <s v="2014"/>
    <n v="0.13999999999999999"/>
  </r>
  <r>
    <x v="2"/>
    <x v="2"/>
    <x v="2"/>
    <x v="3"/>
    <n v="1393"/>
    <n v="10"/>
    <n v="12"/>
    <n v="16716"/>
    <n v="2340.2399999999998"/>
    <n v="14375.76"/>
    <n v="4179"/>
    <n v="10196.76"/>
    <x v="10"/>
    <n v="10"/>
    <x v="7"/>
    <s v="2014"/>
    <n v="0.13999999999999999"/>
  </r>
  <r>
    <x v="0"/>
    <x v="1"/>
    <x v="4"/>
    <x v="3"/>
    <n v="280"/>
    <n v="250"/>
    <n v="7"/>
    <n v="1960"/>
    <n v="274.39999999999998"/>
    <n v="1685.6"/>
    <n v="1400"/>
    <n v="285.59999999999991"/>
    <x v="2"/>
    <n v="12"/>
    <x v="2"/>
    <s v="2014"/>
    <n v="0.13999999999999999"/>
  </r>
  <r>
    <x v="2"/>
    <x v="2"/>
    <x v="5"/>
    <x v="3"/>
    <n v="1393"/>
    <n v="260"/>
    <n v="12"/>
    <n v="16716"/>
    <n v="2340.2399999999998"/>
    <n v="14375.76"/>
    <n v="4179"/>
    <n v="10196.76"/>
    <x v="10"/>
    <n v="10"/>
    <x v="7"/>
    <s v="2014"/>
    <n v="0.13999999999999999"/>
  </r>
  <r>
    <x v="2"/>
    <x v="4"/>
    <x v="5"/>
    <x v="3"/>
    <n v="2015"/>
    <n v="260"/>
    <n v="12"/>
    <n v="24180"/>
    <n v="3385.2"/>
    <n v="20794.8"/>
    <n v="6045"/>
    <n v="14749.8"/>
    <x v="12"/>
    <n v="12"/>
    <x v="2"/>
    <s v="2013"/>
    <n v="0.13999999999999999"/>
  </r>
  <r>
    <x v="4"/>
    <x v="3"/>
    <x v="0"/>
    <x v="3"/>
    <n v="801"/>
    <n v="3"/>
    <n v="300"/>
    <n v="240300"/>
    <n v="33642"/>
    <n v="206658"/>
    <n v="200250"/>
    <n v="6408"/>
    <x v="4"/>
    <n v="7"/>
    <x v="4"/>
    <s v="2014"/>
    <n v="0.14000000000000001"/>
  </r>
  <r>
    <x v="3"/>
    <x v="2"/>
    <x v="0"/>
    <x v="3"/>
    <n v="1023"/>
    <n v="3"/>
    <n v="125"/>
    <n v="127875"/>
    <n v="17902.5"/>
    <n v="109972.5"/>
    <n v="122760"/>
    <n v="-12787.5"/>
    <x v="9"/>
    <n v="9"/>
    <x v="6"/>
    <s v="2013"/>
    <n v="0.14000000000000001"/>
  </r>
  <r>
    <x v="4"/>
    <x v="0"/>
    <x v="0"/>
    <x v="3"/>
    <n v="1496"/>
    <n v="3"/>
    <n v="300"/>
    <n v="448800"/>
    <n v="62832"/>
    <n v="385968"/>
    <n v="374000"/>
    <n v="11968"/>
    <x v="10"/>
    <n v="10"/>
    <x v="7"/>
    <s v="2014"/>
    <n v="0.14000000000000001"/>
  </r>
  <r>
    <x v="4"/>
    <x v="4"/>
    <x v="0"/>
    <x v="3"/>
    <n v="1010"/>
    <n v="3"/>
    <n v="300"/>
    <n v="303000"/>
    <n v="42420"/>
    <n v="260580"/>
    <n v="252500"/>
    <n v="8080"/>
    <x v="10"/>
    <n v="10"/>
    <x v="7"/>
    <s v="2014"/>
    <n v="0.14000000000000001"/>
  </r>
  <r>
    <x v="1"/>
    <x v="1"/>
    <x v="0"/>
    <x v="3"/>
    <n v="1513"/>
    <n v="3"/>
    <n v="15"/>
    <n v="22695"/>
    <n v="3177.3"/>
    <n v="19517.7"/>
    <n v="15130"/>
    <n v="4387.7000000000007"/>
    <x v="15"/>
    <n v="11"/>
    <x v="9"/>
    <s v="2014"/>
    <n v="0.14000000000000001"/>
  </r>
  <r>
    <x v="1"/>
    <x v="0"/>
    <x v="0"/>
    <x v="3"/>
    <n v="2300"/>
    <n v="3"/>
    <n v="15"/>
    <n v="34500"/>
    <n v="4830"/>
    <n v="29670"/>
    <n v="23000"/>
    <n v="6670"/>
    <x v="2"/>
    <n v="12"/>
    <x v="2"/>
    <s v="2014"/>
    <n v="0.14000000000000001"/>
  </r>
  <r>
    <x v="3"/>
    <x v="3"/>
    <x v="0"/>
    <x v="3"/>
    <n v="2821"/>
    <n v="3"/>
    <n v="125"/>
    <n v="352625"/>
    <n v="49367.5"/>
    <n v="303257.5"/>
    <n v="338520"/>
    <n v="-35262.5"/>
    <x v="12"/>
    <n v="12"/>
    <x v="2"/>
    <s v="2013"/>
    <n v="0.14000000000000001"/>
  </r>
  <r>
    <x v="0"/>
    <x v="0"/>
    <x v="1"/>
    <x v="3"/>
    <n v="2227.5"/>
    <n v="5"/>
    <n v="350"/>
    <n v="779625"/>
    <n v="109147.5"/>
    <n v="670477.5"/>
    <n v="579150"/>
    <n v="91327.5"/>
    <x v="0"/>
    <n v="1"/>
    <x v="0"/>
    <s v="2014"/>
    <n v="0.14000000000000001"/>
  </r>
  <r>
    <x v="0"/>
    <x v="1"/>
    <x v="1"/>
    <x v="3"/>
    <n v="1199"/>
    <n v="5"/>
    <n v="350"/>
    <n v="419650"/>
    <n v="58751"/>
    <n v="360899"/>
    <n v="311740"/>
    <n v="49159"/>
    <x v="13"/>
    <n v="4"/>
    <x v="10"/>
    <s v="2014"/>
    <n v="0.14000000000000001"/>
  </r>
  <r>
    <x v="0"/>
    <x v="0"/>
    <x v="1"/>
    <x v="3"/>
    <n v="200"/>
    <n v="5"/>
    <n v="350"/>
    <n v="70000"/>
    <n v="9800"/>
    <n v="60200"/>
    <n v="52000"/>
    <n v="8200"/>
    <x v="14"/>
    <n v="5"/>
    <x v="11"/>
    <s v="2014"/>
    <n v="0.14000000000000001"/>
  </r>
  <r>
    <x v="0"/>
    <x v="0"/>
    <x v="1"/>
    <x v="3"/>
    <n v="388"/>
    <n v="5"/>
    <n v="7"/>
    <n v="2716"/>
    <n v="380.24"/>
    <n v="2335.7600000000002"/>
    <n v="1940"/>
    <n v="395.76000000000022"/>
    <x v="6"/>
    <n v="9"/>
    <x v="6"/>
    <s v="2014"/>
    <n v="0.14000000000000001"/>
  </r>
  <r>
    <x v="0"/>
    <x v="3"/>
    <x v="1"/>
    <x v="3"/>
    <n v="1727"/>
    <n v="5"/>
    <n v="7"/>
    <n v="12089"/>
    <n v="1692.46"/>
    <n v="10396.540000000001"/>
    <n v="8635"/>
    <n v="1761.5400000000009"/>
    <x v="7"/>
    <n v="10"/>
    <x v="7"/>
    <s v="2013"/>
    <n v="0.14000000000000001"/>
  </r>
  <r>
    <x v="1"/>
    <x v="0"/>
    <x v="1"/>
    <x v="3"/>
    <n v="2300"/>
    <n v="5"/>
    <n v="15"/>
    <n v="34500"/>
    <n v="4830"/>
    <n v="29670"/>
    <n v="23000"/>
    <n v="6670"/>
    <x v="2"/>
    <n v="12"/>
    <x v="2"/>
    <s v="2014"/>
    <n v="0.14000000000000001"/>
  </r>
  <r>
    <x v="0"/>
    <x v="3"/>
    <x v="2"/>
    <x v="3"/>
    <n v="260"/>
    <n v="10"/>
    <n v="20"/>
    <n v="5200"/>
    <n v="728"/>
    <n v="4472"/>
    <n v="2600"/>
    <n v="1872"/>
    <x v="8"/>
    <n v="2"/>
    <x v="8"/>
    <s v="2014"/>
    <n v="0.14000000000000001"/>
  </r>
  <r>
    <x v="1"/>
    <x v="0"/>
    <x v="2"/>
    <x v="3"/>
    <n v="2470"/>
    <n v="10"/>
    <n v="15"/>
    <n v="37050"/>
    <n v="5187"/>
    <n v="31863"/>
    <n v="24700"/>
    <n v="7163"/>
    <x v="9"/>
    <n v="9"/>
    <x v="6"/>
    <s v="2013"/>
    <n v="0.14000000000000001"/>
  </r>
  <r>
    <x v="1"/>
    <x v="0"/>
    <x v="2"/>
    <x v="3"/>
    <n v="1743"/>
    <n v="10"/>
    <n v="15"/>
    <n v="26145"/>
    <n v="3660.3"/>
    <n v="22484.7"/>
    <n v="17430"/>
    <n v="5054.7000000000007"/>
    <x v="7"/>
    <n v="10"/>
    <x v="7"/>
    <s v="2013"/>
    <n v="0.14000000000000001"/>
  </r>
  <r>
    <x v="2"/>
    <x v="4"/>
    <x v="2"/>
    <x v="3"/>
    <n v="2914"/>
    <n v="10"/>
    <n v="12"/>
    <n v="34968"/>
    <n v="4895.5200000000004"/>
    <n v="30072.48"/>
    <n v="8742"/>
    <n v="21330.48"/>
    <x v="10"/>
    <n v="10"/>
    <x v="7"/>
    <s v="2014"/>
    <n v="0.14000000000000001"/>
  </r>
  <r>
    <x v="0"/>
    <x v="2"/>
    <x v="2"/>
    <x v="3"/>
    <n v="1731"/>
    <n v="10"/>
    <n v="7"/>
    <n v="12117"/>
    <n v="1696.38"/>
    <n v="10420.619999999999"/>
    <n v="8655"/>
    <n v="1765.619999999999"/>
    <x v="10"/>
    <n v="10"/>
    <x v="7"/>
    <s v="2014"/>
    <n v="0.14000000000000001"/>
  </r>
  <r>
    <x v="0"/>
    <x v="0"/>
    <x v="2"/>
    <x v="3"/>
    <n v="700"/>
    <n v="10"/>
    <n v="350"/>
    <n v="245000"/>
    <n v="34300"/>
    <n v="210700"/>
    <n v="182000"/>
    <n v="28700"/>
    <x v="15"/>
    <n v="11"/>
    <x v="9"/>
    <s v="2014"/>
    <n v="0.14000000000000001"/>
  </r>
  <r>
    <x v="2"/>
    <x v="0"/>
    <x v="2"/>
    <x v="3"/>
    <n v="2222"/>
    <n v="10"/>
    <n v="12"/>
    <n v="26664"/>
    <n v="3732.96"/>
    <n v="22931.040000000001"/>
    <n v="6666"/>
    <n v="16265.04"/>
    <x v="11"/>
    <n v="11"/>
    <x v="9"/>
    <s v="2013"/>
    <n v="0.14000000000000001"/>
  </r>
  <r>
    <x v="0"/>
    <x v="4"/>
    <x v="2"/>
    <x v="3"/>
    <n v="1177"/>
    <n v="10"/>
    <n v="350"/>
    <n v="411950"/>
    <n v="57673"/>
    <n v="354277"/>
    <n v="306020"/>
    <n v="48257"/>
    <x v="15"/>
    <n v="11"/>
    <x v="9"/>
    <s v="2014"/>
    <n v="0.14000000000000001"/>
  </r>
  <r>
    <x v="0"/>
    <x v="2"/>
    <x v="2"/>
    <x v="3"/>
    <n v="1922"/>
    <n v="10"/>
    <n v="350"/>
    <n v="672700"/>
    <n v="94178"/>
    <n v="578522"/>
    <n v="499720"/>
    <n v="78802"/>
    <x v="11"/>
    <n v="11"/>
    <x v="9"/>
    <s v="2013"/>
    <n v="0.14000000000000001"/>
  </r>
  <r>
    <x v="3"/>
    <x v="3"/>
    <x v="3"/>
    <x v="3"/>
    <n v="1575"/>
    <n v="120"/>
    <n v="125"/>
    <n v="196875"/>
    <n v="27562.5"/>
    <n v="169312.5"/>
    <n v="189000"/>
    <n v="-19687.5"/>
    <x v="8"/>
    <n v="2"/>
    <x v="8"/>
    <s v="2014"/>
    <n v="0.14000000000000001"/>
  </r>
  <r>
    <x v="0"/>
    <x v="4"/>
    <x v="3"/>
    <x v="3"/>
    <n v="606"/>
    <n v="120"/>
    <n v="20"/>
    <n v="12120"/>
    <n v="1696.8000000000002"/>
    <n v="10423.200000000001"/>
    <n v="6060"/>
    <n v="4363.2000000000007"/>
    <x v="13"/>
    <n v="4"/>
    <x v="10"/>
    <s v="2014"/>
    <n v="0.14000000000000001"/>
  </r>
  <r>
    <x v="4"/>
    <x v="4"/>
    <x v="3"/>
    <x v="3"/>
    <n v="2460"/>
    <n v="120"/>
    <n v="300"/>
    <n v="738000"/>
    <n v="103320"/>
    <n v="634680"/>
    <n v="615000"/>
    <n v="19680"/>
    <x v="4"/>
    <n v="7"/>
    <x v="4"/>
    <s v="2014"/>
    <n v="0.14000000000000001"/>
  </r>
  <r>
    <x v="4"/>
    <x v="0"/>
    <x v="3"/>
    <x v="3"/>
    <n v="269"/>
    <n v="120"/>
    <n v="300"/>
    <n v="80700"/>
    <n v="11298"/>
    <n v="69402"/>
    <n v="67250"/>
    <n v="2152"/>
    <x v="7"/>
    <n v="10"/>
    <x v="7"/>
    <s v="2013"/>
    <n v="0.14000000000000001"/>
  </r>
  <r>
    <x v="4"/>
    <x v="1"/>
    <x v="3"/>
    <x v="3"/>
    <n v="2536"/>
    <n v="120"/>
    <n v="300"/>
    <n v="760800"/>
    <n v="106512"/>
    <n v="654288"/>
    <n v="634000"/>
    <n v="20288"/>
    <x v="11"/>
    <n v="11"/>
    <x v="9"/>
    <s v="2013"/>
    <n v="0.14000000000000001"/>
  </r>
  <r>
    <x v="0"/>
    <x v="3"/>
    <x v="4"/>
    <x v="3"/>
    <n v="2903"/>
    <n v="250"/>
    <n v="7"/>
    <n v="20321"/>
    <n v="2844.94"/>
    <n v="17476.060000000001"/>
    <n v="14515"/>
    <n v="2961.0600000000013"/>
    <x v="3"/>
    <n v="3"/>
    <x v="3"/>
    <s v="2014"/>
    <n v="0.14000000000000001"/>
  </r>
  <r>
    <x v="4"/>
    <x v="4"/>
    <x v="4"/>
    <x v="3"/>
    <n v="2541"/>
    <n v="250"/>
    <n v="300"/>
    <n v="762300"/>
    <n v="106722"/>
    <n v="655578"/>
    <n v="635250"/>
    <n v="20328"/>
    <x v="5"/>
    <n v="8"/>
    <x v="5"/>
    <s v="2014"/>
    <n v="0.14000000000000001"/>
  </r>
  <r>
    <x v="4"/>
    <x v="0"/>
    <x v="4"/>
    <x v="3"/>
    <n v="269"/>
    <n v="250"/>
    <n v="300"/>
    <n v="80700"/>
    <n v="11298"/>
    <n v="69402"/>
    <n v="67250"/>
    <n v="2152"/>
    <x v="7"/>
    <n v="10"/>
    <x v="7"/>
    <s v="2013"/>
    <n v="0.14000000000000001"/>
  </r>
  <r>
    <x v="4"/>
    <x v="0"/>
    <x v="4"/>
    <x v="3"/>
    <n v="1496"/>
    <n v="250"/>
    <n v="300"/>
    <n v="448800"/>
    <n v="62832"/>
    <n v="385968"/>
    <n v="374000"/>
    <n v="11968"/>
    <x v="10"/>
    <n v="10"/>
    <x v="7"/>
    <s v="2014"/>
    <n v="0.14000000000000001"/>
  </r>
  <r>
    <x v="4"/>
    <x v="4"/>
    <x v="4"/>
    <x v="3"/>
    <n v="1010"/>
    <n v="250"/>
    <n v="300"/>
    <n v="303000"/>
    <n v="42420"/>
    <n v="260580"/>
    <n v="252500"/>
    <n v="8080"/>
    <x v="10"/>
    <n v="10"/>
    <x v="7"/>
    <s v="2014"/>
    <n v="0.14000000000000001"/>
  </r>
  <r>
    <x v="0"/>
    <x v="2"/>
    <x v="4"/>
    <x v="3"/>
    <n v="1281"/>
    <n v="250"/>
    <n v="350"/>
    <n v="448350"/>
    <n v="62769"/>
    <n v="385581"/>
    <n v="333060"/>
    <n v="52521"/>
    <x v="12"/>
    <n v="12"/>
    <x v="2"/>
    <s v="2013"/>
    <n v="0.14000000000000001"/>
  </r>
  <r>
    <x v="4"/>
    <x v="0"/>
    <x v="5"/>
    <x v="3"/>
    <n v="888"/>
    <n v="260"/>
    <n v="300"/>
    <n v="266400"/>
    <n v="37296"/>
    <n v="229104"/>
    <n v="222000"/>
    <n v="7104"/>
    <x v="3"/>
    <n v="3"/>
    <x v="3"/>
    <s v="2014"/>
    <n v="0.14000000000000001"/>
  </r>
  <r>
    <x v="3"/>
    <x v="4"/>
    <x v="5"/>
    <x v="3"/>
    <n v="2844"/>
    <n v="260"/>
    <n v="125"/>
    <n v="355500"/>
    <n v="49770"/>
    <n v="305730"/>
    <n v="341280"/>
    <n v="-35550"/>
    <x v="14"/>
    <n v="5"/>
    <x v="11"/>
    <s v="2014"/>
    <n v="0.14000000000000001"/>
  </r>
  <r>
    <x v="2"/>
    <x v="2"/>
    <x v="5"/>
    <x v="3"/>
    <n v="2475"/>
    <n v="260"/>
    <n v="12"/>
    <n v="29700"/>
    <n v="4158"/>
    <n v="25542"/>
    <n v="7425"/>
    <n v="18117"/>
    <x v="5"/>
    <n v="8"/>
    <x v="5"/>
    <s v="2014"/>
    <n v="0.14000000000000001"/>
  </r>
  <r>
    <x v="1"/>
    <x v="0"/>
    <x v="5"/>
    <x v="3"/>
    <n v="1743"/>
    <n v="260"/>
    <n v="15"/>
    <n v="26145"/>
    <n v="3660.3"/>
    <n v="22484.7"/>
    <n v="17430"/>
    <n v="5054.7000000000007"/>
    <x v="7"/>
    <n v="10"/>
    <x v="7"/>
    <s v="2013"/>
    <n v="0.14000000000000001"/>
  </r>
  <r>
    <x v="2"/>
    <x v="4"/>
    <x v="5"/>
    <x v="3"/>
    <n v="2914"/>
    <n v="260"/>
    <n v="12"/>
    <n v="34968"/>
    <n v="4895.5200000000004"/>
    <n v="30072.48"/>
    <n v="8742"/>
    <n v="21330.48"/>
    <x v="10"/>
    <n v="10"/>
    <x v="7"/>
    <s v="2014"/>
    <n v="0.14000000000000001"/>
  </r>
  <r>
    <x v="0"/>
    <x v="2"/>
    <x v="5"/>
    <x v="3"/>
    <n v="1731"/>
    <n v="260"/>
    <n v="7"/>
    <n v="12117"/>
    <n v="1696.38"/>
    <n v="10420.619999999999"/>
    <n v="8655"/>
    <n v="1765.619999999999"/>
    <x v="10"/>
    <n v="10"/>
    <x v="7"/>
    <s v="2014"/>
    <n v="0.14000000000000001"/>
  </r>
  <r>
    <x v="0"/>
    <x v="3"/>
    <x v="5"/>
    <x v="3"/>
    <n v="1727"/>
    <n v="260"/>
    <n v="7"/>
    <n v="12089"/>
    <n v="1692.46"/>
    <n v="10396.540000000001"/>
    <n v="8635"/>
    <n v="1761.5400000000009"/>
    <x v="7"/>
    <n v="10"/>
    <x v="7"/>
    <s v="2013"/>
    <n v="0.14000000000000001"/>
  </r>
  <r>
    <x v="1"/>
    <x v="3"/>
    <x v="5"/>
    <x v="3"/>
    <n v="1870"/>
    <n v="260"/>
    <n v="15"/>
    <n v="28050"/>
    <n v="3927"/>
    <n v="24123"/>
    <n v="18700"/>
    <n v="5423"/>
    <x v="11"/>
    <n v="11"/>
    <x v="9"/>
    <s v="2013"/>
    <n v="0.14000000000000001"/>
  </r>
  <r>
    <x v="3"/>
    <x v="2"/>
    <x v="0"/>
    <x v="3"/>
    <n v="1174"/>
    <n v="3"/>
    <n v="125"/>
    <n v="146750"/>
    <n v="22012.5"/>
    <n v="124737.5"/>
    <n v="140880"/>
    <n v="-16142.5"/>
    <x v="5"/>
    <n v="8"/>
    <x v="5"/>
    <s v="2014"/>
    <n v="0.15"/>
  </r>
  <r>
    <x v="3"/>
    <x v="1"/>
    <x v="0"/>
    <x v="3"/>
    <n v="2767"/>
    <n v="3"/>
    <n v="125"/>
    <n v="345875"/>
    <n v="51881.25"/>
    <n v="293993.75"/>
    <n v="332040"/>
    <n v="-38046.25"/>
    <x v="5"/>
    <n v="8"/>
    <x v="5"/>
    <s v="2014"/>
    <n v="0.15"/>
  </r>
  <r>
    <x v="3"/>
    <x v="1"/>
    <x v="0"/>
    <x v="3"/>
    <n v="1085"/>
    <n v="3"/>
    <n v="125"/>
    <n v="135625"/>
    <n v="20343.75"/>
    <n v="115281.25"/>
    <n v="130200"/>
    <n v="-14918.75"/>
    <x v="10"/>
    <n v="10"/>
    <x v="7"/>
    <s v="2014"/>
    <n v="0.15"/>
  </r>
  <r>
    <x v="4"/>
    <x v="3"/>
    <x v="1"/>
    <x v="3"/>
    <n v="546"/>
    <n v="5"/>
    <n v="300"/>
    <n v="163800"/>
    <n v="24570"/>
    <n v="139230"/>
    <n v="136500"/>
    <n v="2730"/>
    <x v="10"/>
    <n v="10"/>
    <x v="7"/>
    <s v="2014"/>
    <n v="0.15"/>
  </r>
  <r>
    <x v="0"/>
    <x v="1"/>
    <x v="2"/>
    <x v="3"/>
    <n v="1158"/>
    <n v="10"/>
    <n v="20"/>
    <n v="23160"/>
    <n v="3474"/>
    <n v="19686"/>
    <n v="11580"/>
    <n v="8106"/>
    <x v="3"/>
    <n v="3"/>
    <x v="3"/>
    <s v="2014"/>
    <n v="0.15"/>
  </r>
  <r>
    <x v="1"/>
    <x v="0"/>
    <x v="2"/>
    <x v="3"/>
    <n v="1614"/>
    <n v="10"/>
    <n v="15"/>
    <n v="24210"/>
    <n v="3631.5"/>
    <n v="20578.5"/>
    <n v="16140"/>
    <n v="4438.5"/>
    <x v="13"/>
    <n v="4"/>
    <x v="10"/>
    <s v="2014"/>
    <n v="0.15"/>
  </r>
  <r>
    <x v="0"/>
    <x v="3"/>
    <x v="2"/>
    <x v="3"/>
    <n v="2535"/>
    <n v="10"/>
    <n v="7"/>
    <n v="17745"/>
    <n v="2661.75"/>
    <n v="15083.25"/>
    <n v="12675"/>
    <n v="2408.25"/>
    <x v="13"/>
    <n v="4"/>
    <x v="10"/>
    <s v="2014"/>
    <n v="0.15"/>
  </r>
  <r>
    <x v="0"/>
    <x v="3"/>
    <x v="2"/>
    <x v="3"/>
    <n v="2851"/>
    <n v="10"/>
    <n v="350"/>
    <n v="997850"/>
    <n v="149677.5"/>
    <n v="848172.5"/>
    <n v="741260"/>
    <n v="106912.5"/>
    <x v="14"/>
    <n v="5"/>
    <x v="11"/>
    <s v="2014"/>
    <n v="0.15"/>
  </r>
  <r>
    <x v="1"/>
    <x v="0"/>
    <x v="2"/>
    <x v="3"/>
    <n v="2559"/>
    <n v="10"/>
    <n v="15"/>
    <n v="38385"/>
    <n v="5757.75"/>
    <n v="32627.25"/>
    <n v="25590"/>
    <n v="7037.25"/>
    <x v="5"/>
    <n v="8"/>
    <x v="5"/>
    <s v="2014"/>
    <n v="0.15"/>
  </r>
  <r>
    <x v="0"/>
    <x v="4"/>
    <x v="2"/>
    <x v="3"/>
    <n v="267"/>
    <n v="10"/>
    <n v="20"/>
    <n v="5340"/>
    <n v="801"/>
    <n v="4539"/>
    <n v="2670"/>
    <n v="1869"/>
    <x v="7"/>
    <n v="10"/>
    <x v="7"/>
    <s v="2013"/>
    <n v="0.15"/>
  </r>
  <r>
    <x v="3"/>
    <x v="1"/>
    <x v="2"/>
    <x v="3"/>
    <n v="1085"/>
    <n v="10"/>
    <n v="125"/>
    <n v="135625"/>
    <n v="20343.75"/>
    <n v="115281.25"/>
    <n v="130200"/>
    <n v="-14918.75"/>
    <x v="10"/>
    <n v="10"/>
    <x v="7"/>
    <s v="2014"/>
    <n v="0.15"/>
  </r>
  <r>
    <x v="1"/>
    <x v="1"/>
    <x v="2"/>
    <x v="3"/>
    <n v="1175"/>
    <n v="10"/>
    <n v="15"/>
    <n v="17625"/>
    <n v="2643.75"/>
    <n v="14981.25"/>
    <n v="11750"/>
    <n v="3231.25"/>
    <x v="10"/>
    <n v="10"/>
    <x v="7"/>
    <s v="2014"/>
    <n v="0.15"/>
  </r>
  <r>
    <x v="0"/>
    <x v="4"/>
    <x v="2"/>
    <x v="3"/>
    <n v="2007"/>
    <n v="10"/>
    <n v="350"/>
    <n v="702450"/>
    <n v="105367.5"/>
    <n v="597082.5"/>
    <n v="521820"/>
    <n v="75262.5"/>
    <x v="11"/>
    <n v="11"/>
    <x v="9"/>
    <s v="2013"/>
    <n v="0.15"/>
  </r>
  <r>
    <x v="0"/>
    <x v="3"/>
    <x v="2"/>
    <x v="3"/>
    <n v="2151"/>
    <n v="10"/>
    <n v="350"/>
    <n v="752850"/>
    <n v="112927.5"/>
    <n v="639922.5"/>
    <n v="559260"/>
    <n v="80662.5"/>
    <x v="11"/>
    <n v="11"/>
    <x v="9"/>
    <s v="2013"/>
    <n v="0.15"/>
  </r>
  <r>
    <x v="2"/>
    <x v="4"/>
    <x v="2"/>
    <x v="3"/>
    <n v="914"/>
    <n v="10"/>
    <n v="12"/>
    <n v="10968"/>
    <n v="1645.2"/>
    <n v="9322.7999999999993"/>
    <n v="2742"/>
    <n v="6580.7999999999993"/>
    <x v="2"/>
    <n v="12"/>
    <x v="2"/>
    <s v="2014"/>
    <n v="0.15"/>
  </r>
  <r>
    <x v="0"/>
    <x v="2"/>
    <x v="2"/>
    <x v="3"/>
    <n v="293"/>
    <n v="10"/>
    <n v="20"/>
    <n v="5860"/>
    <n v="879"/>
    <n v="4981"/>
    <n v="2930"/>
    <n v="2051"/>
    <x v="2"/>
    <n v="12"/>
    <x v="2"/>
    <s v="2014"/>
    <n v="0.15"/>
  </r>
  <r>
    <x v="2"/>
    <x v="3"/>
    <x v="3"/>
    <x v="3"/>
    <n v="500"/>
    <n v="120"/>
    <n v="12"/>
    <n v="6000"/>
    <n v="900"/>
    <n v="5100"/>
    <n v="1500"/>
    <n v="3600"/>
    <x v="3"/>
    <n v="3"/>
    <x v="3"/>
    <s v="2014"/>
    <n v="0.15"/>
  </r>
  <r>
    <x v="1"/>
    <x v="2"/>
    <x v="3"/>
    <x v="3"/>
    <n v="2826"/>
    <n v="120"/>
    <n v="15"/>
    <n v="42390"/>
    <n v="6358.5"/>
    <n v="36031.5"/>
    <n v="28260"/>
    <n v="7771.5"/>
    <x v="14"/>
    <n v="5"/>
    <x v="11"/>
    <s v="2014"/>
    <n v="0.15"/>
  </r>
  <r>
    <x v="3"/>
    <x v="2"/>
    <x v="3"/>
    <x v="3"/>
    <n v="663"/>
    <n v="120"/>
    <n v="125"/>
    <n v="82875"/>
    <n v="12431.25"/>
    <n v="70443.75"/>
    <n v="79560"/>
    <n v="-9116.25"/>
    <x v="6"/>
    <n v="9"/>
    <x v="6"/>
    <s v="2014"/>
    <n v="0.15"/>
  </r>
  <r>
    <x v="4"/>
    <x v="4"/>
    <x v="3"/>
    <x v="3"/>
    <n v="2574"/>
    <n v="120"/>
    <n v="300"/>
    <n v="772200"/>
    <n v="115830"/>
    <n v="656370"/>
    <n v="643500"/>
    <n v="12870"/>
    <x v="11"/>
    <n v="11"/>
    <x v="9"/>
    <s v="2013"/>
    <n v="0.15"/>
  </r>
  <r>
    <x v="3"/>
    <x v="4"/>
    <x v="3"/>
    <x v="3"/>
    <n v="2438"/>
    <n v="120"/>
    <n v="125"/>
    <n v="304750"/>
    <n v="45712.5"/>
    <n v="259037.5"/>
    <n v="292560"/>
    <n v="-33522.5"/>
    <x v="12"/>
    <n v="12"/>
    <x v="2"/>
    <s v="2013"/>
    <n v="0.15"/>
  </r>
  <r>
    <x v="2"/>
    <x v="4"/>
    <x v="3"/>
    <x v="3"/>
    <n v="914"/>
    <n v="120"/>
    <n v="12"/>
    <n v="10968"/>
    <n v="1645.2"/>
    <n v="9322.7999999999993"/>
    <n v="2742"/>
    <n v="6580.7999999999993"/>
    <x v="2"/>
    <n v="12"/>
    <x v="2"/>
    <s v="2014"/>
    <n v="0.15"/>
  </r>
  <r>
    <x v="0"/>
    <x v="0"/>
    <x v="4"/>
    <x v="3"/>
    <n v="865.5"/>
    <n v="250"/>
    <n v="20"/>
    <n v="17310"/>
    <n v="2596.5"/>
    <n v="14713.5"/>
    <n v="8655"/>
    <n v="6058.5"/>
    <x v="4"/>
    <n v="7"/>
    <x v="4"/>
    <s v="2014"/>
    <n v="0.15"/>
  </r>
  <r>
    <x v="1"/>
    <x v="1"/>
    <x v="4"/>
    <x v="3"/>
    <n v="492"/>
    <n v="250"/>
    <n v="15"/>
    <n v="7380"/>
    <n v="1107"/>
    <n v="6273"/>
    <n v="4920"/>
    <n v="1353"/>
    <x v="4"/>
    <n v="7"/>
    <x v="4"/>
    <s v="2014"/>
    <n v="0.15"/>
  </r>
  <r>
    <x v="0"/>
    <x v="4"/>
    <x v="4"/>
    <x v="3"/>
    <n v="267"/>
    <n v="250"/>
    <n v="20"/>
    <n v="5340"/>
    <n v="801"/>
    <n v="4539"/>
    <n v="2670"/>
    <n v="1869"/>
    <x v="7"/>
    <n v="10"/>
    <x v="7"/>
    <s v="2013"/>
    <n v="0.15"/>
  </r>
  <r>
    <x v="1"/>
    <x v="1"/>
    <x v="4"/>
    <x v="3"/>
    <n v="1175"/>
    <n v="250"/>
    <n v="15"/>
    <n v="17625"/>
    <n v="2643.75"/>
    <n v="14981.25"/>
    <n v="11750"/>
    <n v="3231.25"/>
    <x v="10"/>
    <n v="10"/>
    <x v="7"/>
    <s v="2014"/>
    <n v="0.15"/>
  </r>
  <r>
    <x v="3"/>
    <x v="0"/>
    <x v="4"/>
    <x v="3"/>
    <n v="2954"/>
    <n v="250"/>
    <n v="125"/>
    <n v="369250"/>
    <n v="55387.5"/>
    <n v="313862.5"/>
    <n v="354480"/>
    <n v="-40617.5"/>
    <x v="11"/>
    <n v="11"/>
    <x v="9"/>
    <s v="2013"/>
    <n v="0.15"/>
  </r>
  <r>
    <x v="3"/>
    <x v="1"/>
    <x v="4"/>
    <x v="3"/>
    <n v="552"/>
    <n v="250"/>
    <n v="125"/>
    <n v="69000"/>
    <n v="10350"/>
    <n v="58650"/>
    <n v="66240"/>
    <n v="-7590"/>
    <x v="15"/>
    <n v="11"/>
    <x v="9"/>
    <s v="2014"/>
    <n v="0.15"/>
  </r>
  <r>
    <x v="0"/>
    <x v="2"/>
    <x v="4"/>
    <x v="3"/>
    <n v="293"/>
    <n v="250"/>
    <n v="20"/>
    <n v="5860"/>
    <n v="879"/>
    <n v="4981"/>
    <n v="2930"/>
    <n v="2051"/>
    <x v="2"/>
    <n v="12"/>
    <x v="2"/>
    <s v="2014"/>
    <n v="0.15"/>
  </r>
  <r>
    <x v="4"/>
    <x v="2"/>
    <x v="5"/>
    <x v="3"/>
    <n v="2475"/>
    <n v="260"/>
    <n v="300"/>
    <n v="742500"/>
    <n v="111375"/>
    <n v="631125"/>
    <n v="618750"/>
    <n v="12375"/>
    <x v="3"/>
    <n v="3"/>
    <x v="3"/>
    <s v="2014"/>
    <n v="0.15"/>
  </r>
  <r>
    <x v="4"/>
    <x v="3"/>
    <x v="5"/>
    <x v="3"/>
    <n v="546"/>
    <n v="260"/>
    <n v="300"/>
    <n v="163800"/>
    <n v="24570"/>
    <n v="139230"/>
    <n v="136500"/>
    <n v="2730"/>
    <x v="10"/>
    <n v="10"/>
    <x v="7"/>
    <s v="2014"/>
    <n v="0.15"/>
  </r>
  <r>
    <x v="0"/>
    <x v="3"/>
    <x v="1"/>
    <x v="3"/>
    <n v="1368"/>
    <n v="5"/>
    <n v="7"/>
    <n v="9576"/>
    <n v="1436.4"/>
    <n v="8139.6"/>
    <n v="6840"/>
    <n v="1299.6000000000004"/>
    <x v="8"/>
    <n v="2"/>
    <x v="8"/>
    <s v="2014"/>
    <n v="0.15000000000000002"/>
  </r>
  <r>
    <x v="0"/>
    <x v="0"/>
    <x v="2"/>
    <x v="3"/>
    <n v="723"/>
    <n v="10"/>
    <n v="7"/>
    <n v="5061"/>
    <n v="759.15000000000009"/>
    <n v="4301.8500000000004"/>
    <n v="3615"/>
    <n v="686.85000000000014"/>
    <x v="13"/>
    <n v="4"/>
    <x v="10"/>
    <s v="2014"/>
    <n v="0.15000000000000002"/>
  </r>
  <r>
    <x v="2"/>
    <x v="4"/>
    <x v="4"/>
    <x v="3"/>
    <n v="1806"/>
    <n v="250"/>
    <n v="12"/>
    <n v="21672"/>
    <n v="3250.8"/>
    <n v="18421.2"/>
    <n v="5418"/>
    <n v="13003.2"/>
    <x v="14"/>
    <n v="5"/>
    <x v="11"/>
    <s v="2014"/>
    <n v="0.1500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F0100-DA16-44C4-8636-E99145E5B78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8">
    <pivotField showAll="0"/>
    <pivotField showAll="0"/>
    <pivotField showAll="0"/>
    <pivotField showAll="0"/>
    <pivotField dataField="1" numFmtId="165" showAll="0"/>
    <pivotField showAll="0"/>
    <pivotField showAll="0"/>
    <pivotField numFmtId="165" showAll="0"/>
    <pivotField numFmtId="165" showAll="0"/>
    <pivotField dataField="1" numFmtId="165" showAll="0"/>
    <pivotField numFmtId="165" showAll="0"/>
    <pivotField dataField="1" numFmtId="165" showAll="0"/>
    <pivotField numFmtId="166" showAll="0">
      <items count="15">
        <item x="0"/>
        <item x="1"/>
        <item x="2"/>
        <item x="3"/>
        <item x="4"/>
        <item x="5"/>
        <item x="6"/>
        <item x="7"/>
        <item x="8"/>
        <item x="9"/>
        <item x="10"/>
        <item x="11"/>
        <item x="12"/>
        <item x="13"/>
        <item t="default"/>
      </items>
    </pivotField>
    <pivotField showAll="0"/>
    <pivotField showAll="0"/>
    <pivotField showAll="0"/>
    <pivotField dataField="1" numFmtId="9" showAll="0"/>
    <pivotField showAll="0" defaultSubtotal="0"/>
  </pivotFields>
  <rowItems count="1">
    <i/>
  </rowItems>
  <colFields count="1">
    <field x="-2"/>
  </colFields>
  <colItems count="4">
    <i>
      <x/>
    </i>
    <i i="1">
      <x v="1"/>
    </i>
    <i i="2">
      <x v="2"/>
    </i>
    <i i="3">
      <x v="3"/>
    </i>
  </colItems>
  <dataFields count="4">
    <dataField name="Sum of Sales" fld="9" baseField="0" baseItem="0" numFmtId="165"/>
    <dataField name="Sum of Units Sold" fld="4" baseField="0" baseItem="0" numFmtId="165"/>
    <dataField name="Sum of Profit" fld="11" baseField="0" baseItem="0" numFmtId="165"/>
    <dataField name="Average of Discount Percentage" fld="16" subtotal="average" baseField="0" baseItem="3" numFmtId="9"/>
  </dataFields>
  <formats count="2">
    <format dxfId="25">
      <pivotArea outline="0" collapsedLevelsAreSubtotals="1" fieldPosition="0">
        <references count="1">
          <reference field="4294967294" count="1" selected="0">
            <x v="3"/>
          </reference>
        </references>
      </pivotArea>
    </format>
    <format dxfId="24">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7CEB4F-3C6B-4783-B648-64A04AB8553A}" name="SalesOverTime"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13">
  <location ref="A3:D20" firstHeaderRow="0" firstDataRow="1" firstDataCol="2"/>
  <pivotFields count="18">
    <pivotField compact="0" outline="0" showAll="0" defaultSubtotal="0"/>
    <pivotField compact="0" outline="0" showAll="0" defaultSubtotal="0"/>
    <pivotField compact="0" outline="0" showAll="0" defaultSubtotal="0">
      <items count="6">
        <item x="5"/>
        <item x="0"/>
        <item x="1"/>
        <item x="2"/>
        <item x="3"/>
        <item x="4"/>
      </items>
    </pivotField>
    <pivotField compact="0" outline="0" showAll="0" defaultSubtotal="0"/>
    <pivotField compact="0" numFmtId="165" outline="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dataField="1" compact="0" numFmtId="165" outline="0" showAll="0" defaultSubtotal="0"/>
    <pivotField compact="0" numFmtId="165" outline="0" showAll="0" defaultSubtotal="0"/>
    <pivotField dataField="1" compact="0" numFmtId="165"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numFmtId="9" outline="0" subtotalTop="0" showAll="0" defaultSubtotal="0"/>
    <pivotField axis="axisRow" compact="0" outline="0" subtotalTop="0" showAll="0" defaultSubtotal="0">
      <items count="4">
        <item x="0"/>
        <item x="1"/>
        <item x="2"/>
        <item x="3"/>
      </items>
    </pivotField>
  </pivotFields>
  <rowFields count="2">
    <field x="17"/>
    <field x="12"/>
  </rowFields>
  <rowItems count="17">
    <i>
      <x v="1"/>
      <x v="9"/>
    </i>
    <i r="1">
      <x v="10"/>
    </i>
    <i r="1">
      <x v="11"/>
    </i>
    <i r="1">
      <x v="12"/>
    </i>
    <i>
      <x v="2"/>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9" baseField="0" baseItem="0" numFmtId="165"/>
    <dataField name="Sum of Profit" fld="11" baseField="0" baseItem="0"/>
  </dataFields>
  <formats count="1">
    <format dxfId="16">
      <pivotArea outline="0" collapsedLevelsAreSubtotals="1" fieldPosition="0"/>
    </format>
  </formats>
  <chartFormats count="9">
    <chartFormat chart="3"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1ABAA0-A955-4155-B931-CABA4FE57EB6}" name="Sales by Segm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9" firstHeaderRow="1" firstDataRow="1" firstDataCol="1"/>
  <pivotFields count="18">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numFmtId="166" showAll="0">
      <items count="15">
        <item x="0"/>
        <item x="1"/>
        <item x="2"/>
        <item x="3"/>
        <item x="4"/>
        <item x="5"/>
        <item x="6"/>
        <item x="7"/>
        <item x="8"/>
        <item x="9"/>
        <item x="10"/>
        <item x="11"/>
        <item x="12"/>
        <item x="13"/>
        <item t="default"/>
      </items>
    </pivotField>
    <pivotField showAll="0"/>
    <pivotField showAll="0"/>
    <pivotField showAll="0"/>
    <pivotField numFmtId="9" showAll="0"/>
    <pivotField showAll="0">
      <items count="5">
        <item x="0"/>
        <item x="1"/>
        <item x="2"/>
        <item x="3"/>
        <item t="default"/>
      </items>
    </pivotField>
  </pivotFields>
  <rowFields count="1">
    <field x="0"/>
  </rowFields>
  <rowItems count="6">
    <i>
      <x v="2"/>
    </i>
    <i>
      <x v="4"/>
    </i>
    <i>
      <x/>
    </i>
    <i>
      <x v="3"/>
    </i>
    <i>
      <x v="1"/>
    </i>
    <i t="grand">
      <x/>
    </i>
  </rowItems>
  <colItems count="1">
    <i/>
  </colItems>
  <dataFields count="1">
    <dataField name="Sum of Profit" fld="11" baseField="0" baseItem="0"/>
  </dataFields>
  <formats count="1">
    <format dxfId="15">
      <pivotArea outline="0" fieldPosition="0"/>
    </format>
  </formats>
  <chartFormats count="14">
    <chartFormat chart="9" format="16"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1"/>
          </reference>
        </references>
      </pivotArea>
    </chartFormat>
    <chartFormat chart="9" format="18">
      <pivotArea type="data" outline="0" fieldPosition="0">
        <references count="2">
          <reference field="4294967294" count="1" selected="0">
            <x v="0"/>
          </reference>
          <reference field="0" count="1" selected="0">
            <x v="2"/>
          </reference>
        </references>
      </pivotArea>
    </chartFormat>
    <chartFormat chart="9" format="19">
      <pivotArea type="data" outline="0" fieldPosition="0">
        <references count="2">
          <reference field="4294967294" count="1" selected="0">
            <x v="0"/>
          </reference>
          <reference field="0" count="1" selected="0">
            <x v="4"/>
          </reference>
        </references>
      </pivotArea>
    </chartFormat>
    <chartFormat chart="9" format="20">
      <pivotArea type="data" outline="0" fieldPosition="0">
        <references count="2">
          <reference field="4294967294" count="1" selected="0">
            <x v="0"/>
          </reference>
          <reference field="0" count="1" selected="0">
            <x v="0"/>
          </reference>
        </references>
      </pivotArea>
    </chartFormat>
    <chartFormat chart="9" format="21">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11" format="28" series="1">
      <pivotArea type="data" outline="0" fieldPosition="0">
        <references count="1">
          <reference field="4294967294" count="1" selected="0">
            <x v="0"/>
          </reference>
        </references>
      </pivotArea>
    </chartFormat>
    <chartFormat chart="11" format="29">
      <pivotArea type="data" outline="0" fieldPosition="0">
        <references count="2">
          <reference field="4294967294" count="1" selected="0">
            <x v="0"/>
          </reference>
          <reference field="0" count="1" selected="0">
            <x v="2"/>
          </reference>
        </references>
      </pivotArea>
    </chartFormat>
    <chartFormat chart="11" format="30">
      <pivotArea type="data" outline="0" fieldPosition="0">
        <references count="2">
          <reference field="4294967294" count="1" selected="0">
            <x v="0"/>
          </reference>
          <reference field="0" count="1" selected="0">
            <x v="4"/>
          </reference>
        </references>
      </pivotArea>
    </chartFormat>
    <chartFormat chart="11" format="31">
      <pivotArea type="data" outline="0" fieldPosition="0">
        <references count="2">
          <reference field="4294967294" count="1" selected="0">
            <x v="0"/>
          </reference>
          <reference field="0" count="1" selected="0">
            <x v="0"/>
          </reference>
        </references>
      </pivotArea>
    </chartFormat>
    <chartFormat chart="11" format="32">
      <pivotArea type="data" outline="0" fieldPosition="0">
        <references count="2">
          <reference field="4294967294" count="1" selected="0">
            <x v="0"/>
          </reference>
          <reference field="0" count="1" selected="0">
            <x v="3"/>
          </reference>
        </references>
      </pivotArea>
    </chartFormat>
    <chartFormat chart="11" format="3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4A19E-FB54-4F82-9336-F79A6DF7B7D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0" firstHeaderRow="1" firstDataRow="1" firstDataCol="1"/>
  <pivotFields count="18">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pivotField numFmtId="165" showAll="0"/>
    <pivotField numFmtId="165" showAll="0"/>
    <pivotField numFmtId="165" showAll="0"/>
    <pivotField numFmtId="165" showAll="0"/>
    <pivotField numFmtId="165" showAll="0"/>
    <pivotField numFmtId="166" showAll="0"/>
    <pivotField showAll="0"/>
    <pivotField showAll="0"/>
    <pivotField showAll="0"/>
    <pivotField numFmtId="9" showAll="0"/>
    <pivotField showAll="0" defaultSubtotal="0"/>
  </pivotFields>
  <rowFields count="1">
    <field x="2"/>
  </rowFields>
  <rowItems count="7">
    <i>
      <x v="1"/>
    </i>
    <i>
      <x v="2"/>
    </i>
    <i>
      <x/>
    </i>
    <i>
      <x v="4"/>
    </i>
    <i>
      <x v="5"/>
    </i>
    <i>
      <x v="3"/>
    </i>
    <i t="grand">
      <x/>
    </i>
  </rowItems>
  <colItems count="1">
    <i/>
  </colItems>
  <dataFields count="1">
    <dataField name="Sum of Units Sold" fld="4" baseField="0" baseItem="0" numFmtId="165"/>
  </dataFields>
  <formats count="1">
    <format dxfId="14">
      <pivotArea outline="0" collapsedLevelsAreSubtotals="1" fieldPosition="0"/>
    </format>
  </formats>
  <chartFormats count="2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3"/>
          </reference>
        </references>
      </pivotArea>
    </chartFormat>
    <chartFormat chart="3" format="2">
      <pivotArea type="data" outline="0" fieldPosition="0">
        <references count="2">
          <reference field="4294967294" count="1" selected="0">
            <x v="0"/>
          </reference>
          <reference field="2" count="1" selected="0">
            <x v="5"/>
          </reference>
        </references>
      </pivotArea>
    </chartFormat>
    <chartFormat chart="3" format="3">
      <pivotArea type="data" outline="0" fieldPosition="0">
        <references count="2">
          <reference field="4294967294" count="1" selected="0">
            <x v="0"/>
          </reference>
          <reference field="2" count="1" selected="0">
            <x v="4"/>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2" count="1" selected="0">
            <x v="1"/>
          </reference>
        </references>
      </pivotArea>
    </chartFormat>
    <chartFormat chart="7" format="16">
      <pivotArea type="data" outline="0" fieldPosition="0">
        <references count="2">
          <reference field="4294967294" count="1" selected="0">
            <x v="0"/>
          </reference>
          <reference field="2" count="1" selected="0">
            <x v="2"/>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4"/>
          </reference>
        </references>
      </pivotArea>
    </chartFormat>
    <chartFormat chart="7" format="19">
      <pivotArea type="data" outline="0" fieldPosition="0">
        <references count="2">
          <reference field="4294967294" count="1" selected="0">
            <x v="0"/>
          </reference>
          <reference field="2" count="1" selected="0">
            <x v="5"/>
          </reference>
        </references>
      </pivotArea>
    </chartFormat>
    <chartFormat chart="7" format="20">
      <pivotArea type="data" outline="0" fieldPosition="0">
        <references count="2">
          <reference field="4294967294" count="1" selected="0">
            <x v="0"/>
          </reference>
          <reference field="2" count="1" selected="0">
            <x v="3"/>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2" count="1" selected="0">
            <x v="1"/>
          </reference>
        </references>
      </pivotArea>
    </chartFormat>
    <chartFormat chart="9" format="30">
      <pivotArea type="data" outline="0" fieldPosition="0">
        <references count="2">
          <reference field="4294967294" count="1" selected="0">
            <x v="0"/>
          </reference>
          <reference field="2" count="1" selected="0">
            <x v="2"/>
          </reference>
        </references>
      </pivotArea>
    </chartFormat>
    <chartFormat chart="9" format="31">
      <pivotArea type="data" outline="0" fieldPosition="0">
        <references count="2">
          <reference field="4294967294" count="1" selected="0">
            <x v="0"/>
          </reference>
          <reference field="2" count="1" selected="0">
            <x v="0"/>
          </reference>
        </references>
      </pivotArea>
    </chartFormat>
    <chartFormat chart="9" format="32">
      <pivotArea type="data" outline="0" fieldPosition="0">
        <references count="2">
          <reference field="4294967294" count="1" selected="0">
            <x v="0"/>
          </reference>
          <reference field="2" count="1" selected="0">
            <x v="4"/>
          </reference>
        </references>
      </pivotArea>
    </chartFormat>
    <chartFormat chart="9" format="33">
      <pivotArea type="data" outline="0" fieldPosition="0">
        <references count="2">
          <reference field="4294967294" count="1" selected="0">
            <x v="0"/>
          </reference>
          <reference field="2" count="1" selected="0">
            <x v="5"/>
          </reference>
        </references>
      </pivotArea>
    </chartFormat>
    <chartFormat chart="9" format="34">
      <pivotArea type="data" outline="0" fieldPosition="0">
        <references count="2">
          <reference field="4294967294" count="1" selected="0">
            <x v="0"/>
          </reference>
          <reference field="2" count="1" selected="0">
            <x v="3"/>
          </reference>
        </references>
      </pivotArea>
    </chartFormat>
    <chartFormat chart="11" format="28" series="1">
      <pivotArea type="data" outline="0" fieldPosition="0">
        <references count="1">
          <reference field="4294967294" count="1" selected="0">
            <x v="0"/>
          </reference>
        </references>
      </pivotArea>
    </chartFormat>
    <chartFormat chart="11" format="29">
      <pivotArea type="data" outline="0" fieldPosition="0">
        <references count="2">
          <reference field="4294967294" count="1" selected="0">
            <x v="0"/>
          </reference>
          <reference field="2" count="1" selected="0">
            <x v="1"/>
          </reference>
        </references>
      </pivotArea>
    </chartFormat>
    <chartFormat chart="11" format="30">
      <pivotArea type="data" outline="0" fieldPosition="0">
        <references count="2">
          <reference field="4294967294" count="1" selected="0">
            <x v="0"/>
          </reference>
          <reference field="2" count="1" selected="0">
            <x v="2"/>
          </reference>
        </references>
      </pivotArea>
    </chartFormat>
    <chartFormat chart="11" format="31">
      <pivotArea type="data" outline="0" fieldPosition="0">
        <references count="2">
          <reference field="4294967294" count="1" selected="0">
            <x v="0"/>
          </reference>
          <reference field="2" count="1" selected="0">
            <x v="0"/>
          </reference>
        </references>
      </pivotArea>
    </chartFormat>
    <chartFormat chart="11" format="32">
      <pivotArea type="data" outline="0" fieldPosition="0">
        <references count="2">
          <reference field="4294967294" count="1" selected="0">
            <x v="0"/>
          </reference>
          <reference field="2" count="1" selected="0">
            <x v="4"/>
          </reference>
        </references>
      </pivotArea>
    </chartFormat>
    <chartFormat chart="11" format="33">
      <pivotArea type="data" outline="0" fieldPosition="0">
        <references count="2">
          <reference field="4294967294" count="1" selected="0">
            <x v="0"/>
          </reference>
          <reference field="2" count="1" selected="0">
            <x v="5"/>
          </reference>
        </references>
      </pivotArea>
    </chartFormat>
    <chartFormat chart="11" format="3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F7106-6508-4BDE-88C1-200C8C94B8D7}" name="Sales by Count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9" firstHeaderRow="1" firstDataRow="1" firstDataCol="1"/>
  <pivotFields count="18">
    <pivotField showAll="0"/>
    <pivotField axis="axisRow" showAll="0" sortType="ascending">
      <items count="7">
        <item x="0"/>
        <item x="2"/>
        <item x="1"/>
        <item x="3"/>
        <item m="1" x="5"/>
        <item x="4"/>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pivotField showAll="0"/>
    <pivotField numFmtId="165" showAll="0"/>
    <pivotField numFmtId="165" showAll="0"/>
    <pivotField numFmtId="165" showAll="0"/>
    <pivotField numFmtId="165" showAll="0"/>
    <pivotField dataField="1" numFmtId="165" showAll="0"/>
    <pivotField numFmtId="166" showAll="0">
      <items count="15">
        <item x="0"/>
        <item x="1"/>
        <item x="2"/>
        <item x="3"/>
        <item x="4"/>
        <item x="5"/>
        <item x="6"/>
        <item x="7"/>
        <item x="8"/>
        <item x="9"/>
        <item x="10"/>
        <item x="11"/>
        <item x="12"/>
        <item x="13"/>
        <item t="default"/>
      </items>
    </pivotField>
    <pivotField showAll="0"/>
    <pivotField showAll="0"/>
    <pivotField showAll="0"/>
    <pivotField numFmtId="9" showAll="0"/>
    <pivotField showAll="0">
      <items count="5">
        <item x="0"/>
        <item x="1"/>
        <item x="2"/>
        <item x="3"/>
        <item t="default"/>
      </items>
    </pivotField>
  </pivotFields>
  <rowFields count="1">
    <field x="1"/>
  </rowFields>
  <rowItems count="6">
    <i>
      <x v="3"/>
    </i>
    <i>
      <x v="5"/>
    </i>
    <i>
      <x/>
    </i>
    <i>
      <x v="2"/>
    </i>
    <i>
      <x v="1"/>
    </i>
    <i t="grand">
      <x/>
    </i>
  </rowItems>
  <colItems count="1">
    <i/>
  </colItems>
  <dataFields count="1">
    <dataField name="Sum of Profit" fld="11" baseField="0" baseItem="0" numFmtId="168"/>
  </dataFields>
  <formats count="1">
    <format dxfId="13">
      <pivotArea outline="0" collapsedLevelsAreSubtotals="1" fieldPosition="0"/>
    </format>
  </formats>
  <chartFormats count="19">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 count="1" selected="0">
            <x v="3"/>
          </reference>
        </references>
      </pivotArea>
    </chartFormat>
    <chartFormat chart="7" format="15">
      <pivotArea type="data" outline="0" fieldPosition="0">
        <references count="2">
          <reference field="4294967294" count="1" selected="0">
            <x v="0"/>
          </reference>
          <reference field="1" count="1" selected="0">
            <x v="4"/>
          </reference>
        </references>
      </pivotArea>
    </chartFormat>
    <chartFormat chart="7" format="16">
      <pivotArea type="data" outline="0" fieldPosition="0">
        <references count="2">
          <reference field="4294967294" count="1" selected="0">
            <x v="0"/>
          </reference>
          <reference field="1" count="1" selected="0">
            <x v="0"/>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5"/>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1" count="1" selected="0">
            <x v="3"/>
          </reference>
        </references>
      </pivotArea>
    </chartFormat>
    <chartFormat chart="9" format="28">
      <pivotArea type="data" outline="0" fieldPosition="0">
        <references count="2">
          <reference field="4294967294" count="1" selected="0">
            <x v="0"/>
          </reference>
          <reference field="1" count="1" selected="0">
            <x v="5"/>
          </reference>
        </references>
      </pivotArea>
    </chartFormat>
    <chartFormat chart="9" format="29">
      <pivotArea type="data" outline="0" fieldPosition="0">
        <references count="2">
          <reference field="4294967294" count="1" selected="0">
            <x v="0"/>
          </reference>
          <reference field="1" count="1" selected="0">
            <x v="0"/>
          </reference>
        </references>
      </pivotArea>
    </chartFormat>
    <chartFormat chart="9" format="30">
      <pivotArea type="data" outline="0" fieldPosition="0">
        <references count="2">
          <reference field="4294967294" count="1" selected="0">
            <x v="0"/>
          </reference>
          <reference field="1" count="1" selected="0">
            <x v="2"/>
          </reference>
        </references>
      </pivotArea>
    </chartFormat>
    <chartFormat chart="9" format="3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E53FDF-1344-4C80-8CF1-01B474C7CA5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0" firstHeaderRow="0"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numFmtId="165" showAll="0"/>
    <pivotField numFmtId="165" showAll="0"/>
    <pivotField dataField="1" numFmtId="165" showAll="0"/>
    <pivotField dataField="1" numFmtId="165" showAll="0"/>
    <pivotField numFmtId="166" showAll="0"/>
    <pivotField showAll="0"/>
    <pivotField showAll="0">
      <items count="13">
        <item h="1" x="0"/>
        <item h="1" x="8"/>
        <item h="1" x="3"/>
        <item h="1" x="10"/>
        <item h="1" x="11"/>
        <item h="1" x="1"/>
        <item h="1" x="4"/>
        <item h="1" x="5"/>
        <item h="1" x="6"/>
        <item x="7"/>
        <item h="1" x="9"/>
        <item h="1" x="2"/>
        <item t="default"/>
      </items>
    </pivotField>
    <pivotField showAll="0"/>
    <pivotField numFmtId="9" showAll="0"/>
    <pivotField showAll="0" defaultSubtotal="0"/>
  </pivotFields>
  <rowFields count="1">
    <field x="2"/>
  </rowFields>
  <rowItems count="7">
    <i>
      <x v="4"/>
    </i>
    <i>
      <x v="5"/>
    </i>
    <i>
      <x v="1"/>
    </i>
    <i>
      <x/>
    </i>
    <i>
      <x v="3"/>
    </i>
    <i>
      <x v="2"/>
    </i>
    <i t="grand">
      <x/>
    </i>
  </rowItems>
  <colFields count="1">
    <field x="-2"/>
  </colFields>
  <colItems count="2">
    <i>
      <x/>
    </i>
    <i i="1">
      <x v="1"/>
    </i>
  </colItems>
  <dataFields count="2">
    <dataField name="Sum of COGS" fld="10" baseField="0" baseItem="0"/>
    <dataField name="Sum of Profit" fld="11" baseField="0" baseItem="0"/>
  </dataFields>
  <formats count="1">
    <format dxfId="12">
      <pivotArea collapsedLevelsAreSubtotals="1" fieldPosition="0">
        <references count="1">
          <reference field="2" count="0"/>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881E1E-2083-4979-A988-B0AE00DB9A3B}"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D10" firstHeaderRow="0"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1"/>
            </reference>
          </references>
        </pivotArea>
      </autoSortScope>
    </pivotField>
    <pivotField showAll="0"/>
    <pivotField numFmtId="165" showAll="0"/>
    <pivotField showAll="0"/>
    <pivotField showAll="0"/>
    <pivotField numFmtId="165" showAll="0"/>
    <pivotField numFmtId="165" showAll="0"/>
    <pivotField dataField="1" numFmtId="165" showAll="0"/>
    <pivotField dataField="1" numFmtId="165" showAll="0"/>
    <pivotField dataField="1" numFmtId="165" showAll="0"/>
    <pivotField numFmtId="166" showAll="0"/>
    <pivotField showAll="0"/>
    <pivotField showAll="0"/>
    <pivotField showAll="0"/>
    <pivotField numFmtId="9" showAll="0"/>
    <pivotField showAll="0" defaultSubtotal="0"/>
  </pivotFields>
  <rowFields count="1">
    <field x="2"/>
  </rowFields>
  <rowItems count="7">
    <i>
      <x v="3"/>
    </i>
    <i>
      <x v="5"/>
    </i>
    <i>
      <x v="4"/>
    </i>
    <i>
      <x/>
    </i>
    <i>
      <x v="2"/>
    </i>
    <i>
      <x v="1"/>
    </i>
    <i t="grand">
      <x/>
    </i>
  </rowItems>
  <colFields count="1">
    <field x="-2"/>
  </colFields>
  <colItems count="3">
    <i>
      <x/>
    </i>
    <i i="1">
      <x v="1"/>
    </i>
    <i i="2">
      <x v="2"/>
    </i>
  </colItems>
  <dataFields count="3">
    <dataField name="Sales  " fld="9" baseField="2" baseItem="4"/>
    <dataField name="COGS  " fld="10" baseField="2" baseItem="4"/>
    <dataField name="Profit  " fld="11" baseField="2" baseItem="4"/>
  </dataFields>
  <formats count="2">
    <format dxfId="11">
      <pivotArea collapsedLevelsAreSubtotals="1" fieldPosition="0">
        <references count="1">
          <reference field="2" count="0"/>
        </references>
      </pivotArea>
    </format>
    <format dxfId="10">
      <pivotArea outline="0" collapsedLevelsAreSubtotals="1" fieldPosition="0"/>
    </format>
  </formats>
  <chartFormats count="14">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2"/>
          </reference>
        </references>
      </pivotArea>
    </chartFormat>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2"/>
          </reference>
        </references>
      </pivotArea>
    </chartFormat>
    <chartFormat chart="5" format="4"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 chart="10" format="16" series="1">
      <pivotArea type="data" outline="0" fieldPosition="0">
        <references count="1">
          <reference field="4294967294" count="1" selected="0">
            <x v="2"/>
          </reference>
        </references>
      </pivotArea>
    </chartFormat>
    <chartFormat chart="13" format="20" series="1">
      <pivotArea type="data" outline="0" fieldPosition="0">
        <references count="1">
          <reference field="4294967294" count="1" selected="0">
            <x v="0"/>
          </reference>
        </references>
      </pivotArea>
    </chartFormat>
    <chartFormat chart="13" format="21" series="1">
      <pivotArea type="data" outline="0" fieldPosition="0">
        <references count="1">
          <reference field="4294967294" count="1" selected="0">
            <x v="1"/>
          </reference>
        </references>
      </pivotArea>
    </chartFormat>
    <chartFormat chart="13" format="2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D930A0-1A35-4510-9077-0182A7601FE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8" firstHeaderRow="1" firstDataRow="1" firstDataCol="1"/>
  <pivotFields count="18">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numFmtId="165" showAll="0"/>
    <pivotField numFmtId="165" showAll="0"/>
    <pivotField numFmtId="165" showAll="0"/>
    <pivotField numFmtId="165" showAll="0"/>
    <pivotField dataField="1" numFmtId="165" showAll="0"/>
    <pivotField numFmtId="166" showAll="0"/>
    <pivotField showAll="0"/>
    <pivotField showAll="0"/>
    <pivotField showAll="0"/>
    <pivotField numFmtId="9" showAll="0"/>
    <pivotField showAll="0" defaultSubtotal="0"/>
  </pivotFields>
  <rowFields count="1">
    <field x="3"/>
  </rowFields>
  <rowItems count="5">
    <i>
      <x v="1"/>
    </i>
    <i>
      <x v="2"/>
    </i>
    <i>
      <x/>
    </i>
    <i>
      <x v="3"/>
    </i>
    <i t="grand">
      <x/>
    </i>
  </rowItems>
  <colItems count="1">
    <i/>
  </colItems>
  <dataFields count="1">
    <dataField name="Sum of Profit" fld="11" baseField="0" baseItem="0" numFmtId="168"/>
  </dataFields>
  <formats count="1">
    <format dxfId="9">
      <pivotArea outline="0" collapsedLevelsAreSubtotals="1" fieldPosition="0"/>
    </format>
  </formats>
  <chartFormats count="1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1"/>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3"/>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3" count="1" selected="0">
            <x v="1"/>
          </reference>
        </references>
      </pivotArea>
    </chartFormat>
    <chartFormat chart="11" format="16">
      <pivotArea type="data" outline="0" fieldPosition="0">
        <references count="2">
          <reference field="4294967294" count="1" selected="0">
            <x v="0"/>
          </reference>
          <reference field="3" count="1" selected="0">
            <x v="0"/>
          </reference>
        </references>
      </pivotArea>
    </chartFormat>
    <chartFormat chart="11" format="1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90676E-365C-4F78-A557-C8A452BBA70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0" firstHeaderRow="0"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dataField="1" numFmtId="165" showAll="0"/>
    <pivotField numFmtId="165" showAll="0"/>
    <pivotField numFmtId="165" showAll="0"/>
    <pivotField dataField="1" numFmtId="165" showAll="0"/>
    <pivotField numFmtId="166" showAll="0"/>
    <pivotField showAll="0"/>
    <pivotField showAll="0"/>
    <pivotField showAll="0"/>
    <pivotField numFmtId="9" showAll="0"/>
    <pivotField showAll="0" defaultSubtotal="0"/>
  </pivotFields>
  <rowFields count="1">
    <field x="2"/>
  </rowFields>
  <rowItems count="7">
    <i>
      <x v="3"/>
    </i>
    <i>
      <x v="4"/>
    </i>
    <i>
      <x v="5"/>
    </i>
    <i>
      <x/>
    </i>
    <i>
      <x v="2"/>
    </i>
    <i>
      <x v="1"/>
    </i>
    <i t="grand">
      <x/>
    </i>
  </rowItems>
  <colFields count="1">
    <field x="-2"/>
  </colFields>
  <colItems count="2">
    <i>
      <x/>
    </i>
    <i i="1">
      <x v="1"/>
    </i>
  </colItems>
  <dataFields count="2">
    <dataField name="Discounts " fld="8" baseField="2" baseItem="3" numFmtId="165"/>
    <dataField name="Profit  " fld="11" baseField="2" baseItem="3"/>
  </dataFields>
  <formats count="1">
    <format dxfId="8">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6D35FB-ACDB-4FD5-B72B-2C3A350DF87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0" firstHeaderRow="0"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dataField="1" numFmtId="165" showAll="0"/>
    <pivotField dataField="1" numFmtId="165" showAll="0"/>
    <pivotField numFmtId="165" showAll="0"/>
    <pivotField numFmtId="165" showAll="0"/>
    <pivotField numFmtId="166" showAll="0"/>
    <pivotField showAll="0"/>
    <pivotField showAll="0"/>
    <pivotField showAll="0"/>
    <pivotField numFmtId="9" showAll="0"/>
    <pivotField showAll="0" defaultSubtotal="0"/>
  </pivotFields>
  <rowFields count="1">
    <field x="2"/>
  </rowFields>
  <rowItems count="7">
    <i>
      <x v="3"/>
    </i>
    <i>
      <x v="4"/>
    </i>
    <i>
      <x v="5"/>
    </i>
    <i>
      <x/>
    </i>
    <i>
      <x v="2"/>
    </i>
    <i>
      <x v="1"/>
    </i>
    <i t="grand">
      <x/>
    </i>
  </rowItems>
  <colFields count="1">
    <field x="-2"/>
  </colFields>
  <colItems count="2">
    <i>
      <x/>
    </i>
    <i i="1">
      <x v="1"/>
    </i>
  </colItems>
  <dataFields count="2">
    <dataField name="Discounts " fld="8" baseField="2" baseItem="3" numFmtId="165"/>
    <dataField name="Sum of Sales" fld="9" baseField="0" baseItem="0"/>
  </dataFields>
  <formats count="1">
    <format dxfId="7">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82E9EA-11C1-4EFA-A498-DAB4F1C1E106}" name="PivotTable3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0" firstHeaderRow="1" firstDataRow="1" firstDataCol="1"/>
  <pivotFields count="18">
    <pivotField showAll="0"/>
    <pivotField showAll="0"/>
    <pivotField axis="axisRow" showAll="0" sortType="ascending">
      <items count="7">
        <item x="4"/>
        <item x="3"/>
        <item x="2"/>
        <item x="1"/>
        <item x="0"/>
        <item x="5"/>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numFmtId="165" showAll="0"/>
    <pivotField numFmtId="165" showAll="0"/>
    <pivotField numFmtId="165" showAll="0"/>
    <pivotField dataField="1" numFmtId="165" showAll="0"/>
    <pivotField numFmtId="166" showAll="0"/>
    <pivotField showAll="0"/>
    <pivotField showAll="0"/>
    <pivotField showAll="0"/>
    <pivotField numFmtId="9" showAll="0"/>
    <pivotField showAll="0" defaultSubtotal="0"/>
  </pivotFields>
  <rowFields count="1">
    <field x="2"/>
  </rowFields>
  <rowItems count="7">
    <i>
      <x v="4"/>
    </i>
    <i>
      <x v="3"/>
    </i>
    <i>
      <x v="1"/>
    </i>
    <i>
      <x v="5"/>
    </i>
    <i>
      <x/>
    </i>
    <i>
      <x v="2"/>
    </i>
    <i t="grand">
      <x/>
    </i>
  </rowItems>
  <colItems count="1">
    <i/>
  </colItems>
  <dataFields count="1">
    <dataField name="Sum of Profit" fld="11" baseField="0" baseItem="0" numFmtId="165"/>
  </dataFields>
  <formats count="6">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chartFormats count="16">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5"/>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 chart="4" format="8">
      <pivotArea type="data" outline="0" fieldPosition="0">
        <references count="2">
          <reference field="4294967294" count="1" selected="0">
            <x v="0"/>
          </reference>
          <reference field="2" count="1" selected="0">
            <x v="4"/>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 chart="6" format="18">
      <pivotArea type="data" outline="0" fieldPosition="0">
        <references count="2">
          <reference field="4294967294" count="1" selected="0">
            <x v="0"/>
          </reference>
          <reference field="2" count="1" selected="0">
            <x v="3"/>
          </reference>
        </references>
      </pivotArea>
    </chartFormat>
    <chartFormat chart="6" format="19">
      <pivotArea type="data" outline="0" fieldPosition="0">
        <references count="2">
          <reference field="4294967294" count="1" selected="0">
            <x v="0"/>
          </reference>
          <reference field="2" count="1" selected="0">
            <x v="1"/>
          </reference>
        </references>
      </pivotArea>
    </chartFormat>
    <chartFormat chart="6" format="20">
      <pivotArea type="data" outline="0" fieldPosition="0">
        <references count="2">
          <reference field="4294967294" count="1" selected="0">
            <x v="0"/>
          </reference>
          <reference field="2" count="1" selected="0">
            <x v="5"/>
          </reference>
        </references>
      </pivotArea>
    </chartFormat>
    <chartFormat chart="6" format="21">
      <pivotArea type="data" outline="0" fieldPosition="0">
        <references count="2">
          <reference field="4294967294" count="1" selected="0">
            <x v="0"/>
          </reference>
          <reference field="2" count="1" selected="0">
            <x v="0"/>
          </reference>
        </references>
      </pivotArea>
    </chartFormat>
    <chartFormat chart="6" format="2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5CA516-9C33-424C-B910-23DD7BB9714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0" firstHeaderRow="1" firstDataRow="1" firstDataCol="1"/>
  <pivotFields count="18">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numFmtId="165" showAll="0"/>
    <pivotField dataField="1" numFmtId="165" showAll="0"/>
    <pivotField numFmtId="165" showAll="0"/>
    <pivotField numFmtId="165" showAll="0"/>
    <pivotField numFmtId="166" showAll="0"/>
    <pivotField showAll="0"/>
    <pivotField showAll="0"/>
    <pivotField showAll="0"/>
    <pivotField numFmtId="9" showAll="0"/>
    <pivotField showAll="0" defaultSubtotal="0"/>
  </pivotFields>
  <rowFields count="1">
    <field x="2"/>
  </rowFields>
  <rowItems count="7">
    <i>
      <x v="1"/>
    </i>
    <i>
      <x v="2"/>
    </i>
    <i>
      <x/>
    </i>
    <i>
      <x v="4"/>
    </i>
    <i>
      <x v="5"/>
    </i>
    <i>
      <x v="3"/>
    </i>
    <i t="grand">
      <x/>
    </i>
  </rowItems>
  <colItems count="1">
    <i/>
  </colItems>
  <dataFields count="1">
    <dataField name="Sum of Sales" fld="9" baseField="0" baseItem="0" numFmtId="167"/>
  </dataFields>
  <formats count="1">
    <format dxfId="0">
      <pivotArea outline="0" collapsedLevelsAreSubtotals="1" fieldPosition="0"/>
    </format>
  </formats>
  <chartFormats count="16">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3"/>
          </reference>
        </references>
      </pivotArea>
    </chartFormat>
    <chartFormat chart="6" format="4">
      <pivotArea type="data" outline="0" fieldPosition="0">
        <references count="2">
          <reference field="4294967294" count="1" selected="0">
            <x v="0"/>
          </reference>
          <reference field="2" count="1" selected="0">
            <x v="5"/>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2"/>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1"/>
          </reference>
        </references>
      </pivotArea>
    </chartFormat>
    <chartFormat chart="8" format="18">
      <pivotArea type="data" outline="0" fieldPosition="0">
        <references count="2">
          <reference field="4294967294" count="1" selected="0">
            <x v="0"/>
          </reference>
          <reference field="2" count="1" selected="0">
            <x v="2"/>
          </reference>
        </references>
      </pivotArea>
    </chartFormat>
    <chartFormat chart="8" format="19">
      <pivotArea type="data" outline="0" fieldPosition="0">
        <references count="2">
          <reference field="4294967294" count="1" selected="0">
            <x v="0"/>
          </reference>
          <reference field="2" count="1" selected="0">
            <x v="0"/>
          </reference>
        </references>
      </pivotArea>
    </chartFormat>
    <chartFormat chart="8" format="20">
      <pivotArea type="data" outline="0" fieldPosition="0">
        <references count="2">
          <reference field="4294967294" count="1" selected="0">
            <x v="0"/>
          </reference>
          <reference field="2" count="1" selected="0">
            <x v="4"/>
          </reference>
        </references>
      </pivotArea>
    </chartFormat>
    <chartFormat chart="8" format="21">
      <pivotArea type="data" outline="0" fieldPosition="0">
        <references count="2">
          <reference field="4294967294" count="1" selected="0">
            <x v="0"/>
          </reference>
          <reference field="2" count="1" selected="0">
            <x v="5"/>
          </reference>
        </references>
      </pivotArea>
    </chartFormat>
    <chartFormat chart="8" format="2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3" xr10:uid="{C621DBB8-F7E8-4596-BB5C-B513AEA078DE}" sourceName="Month Name">
  <pivotTables>
    <pivotTable tabId="18" name="PivotTable2"/>
  </pivotTables>
  <data>
    <tabular pivotCacheId="1884544015">
      <items count="12">
        <i x="0"/>
        <i x="8"/>
        <i x="3"/>
        <i x="10"/>
        <i x="11"/>
        <i x="1"/>
        <i x="4"/>
        <i x="5"/>
        <i x="6"/>
        <i x="7" s="1"/>
        <i x="9"/>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3" xr10:uid="{6B1D5979-958D-46C6-9AAF-EBEE33679F1D}" cache="Slicer_Month_Name3" caption="Month Name"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6BA708-4255-46AA-8147-A0CA6BF902B3}" name="Table2" displayName="Table2" ref="A1:Q705" totalsRowShown="0">
  <autoFilter ref="A1:Q705" xr:uid="{28517195-7749-4192-8494-BC8A85D9B2EE}"/>
  <tableColumns count="17">
    <tableColumn id="1" xr3:uid="{B1EFC00B-F314-4410-8CE9-C6B952337764}" name="Segment"/>
    <tableColumn id="2" xr3:uid="{87BF96F0-695F-41F9-9FA1-05C7F7EAF7BC}" name="Country"/>
    <tableColumn id="3" xr3:uid="{D0EAC15E-92CC-4507-9A0F-7E6E4B1FC64C}" name="Product"/>
    <tableColumn id="4" xr3:uid="{DD3B559A-9021-41DE-ADFB-36B6C6CFE3B6}" name="Discount Band"/>
    <tableColumn id="5" xr3:uid="{46B46E73-DD0E-4E96-8001-374973CFFDC9}" name="Units Sold" dataDxfId="23" dataCellStyle="Comma"/>
    <tableColumn id="6" xr3:uid="{957BAA88-7253-4702-992B-49ACE568B830}" name="Manufacturing Price"/>
    <tableColumn id="7" xr3:uid="{EB7413DA-E577-4338-9383-0DCA94D47BFA}" name="Sale Price"/>
    <tableColumn id="8" xr3:uid="{4380ED45-46F2-4B40-891D-66E6EDAA5AEC}" name="Gross Sales" dataDxfId="22" dataCellStyle="Comma"/>
    <tableColumn id="9" xr3:uid="{62070933-DD15-4414-8287-71328D5E0710}" name="Discounts" dataDxfId="21" dataCellStyle="Comma"/>
    <tableColumn id="10" xr3:uid="{7093CBBF-4734-4D3D-9845-5F75C471FC23}" name="Sales" dataDxfId="20" dataCellStyle="Comma"/>
    <tableColumn id="11" xr3:uid="{8D283941-EE3C-4F7E-8787-3CE0BC8541DD}" name="COGS" dataDxfId="19" dataCellStyle="Comma"/>
    <tableColumn id="12" xr3:uid="{06C51BFF-E966-43D7-A6E8-F25CDB25F590}" name="Profit" dataDxfId="18" dataCellStyle="Comma"/>
    <tableColumn id="13" xr3:uid="{B0178692-6189-4A4F-A039-0663EABA57A4}" name="Date" dataDxfId="17"/>
    <tableColumn id="14" xr3:uid="{13D47BFF-60DC-4764-AC46-1DB232E6A049}" name="Month Number"/>
    <tableColumn id="15" xr3:uid="{69B32614-11A6-4B67-8C7C-E7B23805910B}" name="Month Name"/>
    <tableColumn id="16" xr3:uid="{2954348E-8EF1-407B-9912-B4224497577E}" name="Year"/>
    <tableColumn id="17" xr3:uid="{1CD39A5D-45A3-4E9E-BA4F-02190593B62A}" name="Discount Percentage" dataCellStyle="Percent">
      <calculatedColumnFormula>Table2[[#This Row],[Discounts]]/Table2[[#This Row],[Gross Sales]]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1C8BF-9001-4449-A71A-A4A0E68C2CC0}">
  <dimension ref="A3:D4"/>
  <sheetViews>
    <sheetView topLeftCell="B10" zoomScale="63" zoomScaleNormal="63" workbookViewId="0">
      <selection activeCell="Q23" sqref="Q23"/>
    </sheetView>
  </sheetViews>
  <sheetFormatPr defaultRowHeight="14.5" x14ac:dyDescent="0.35"/>
  <cols>
    <col min="1" max="1" width="12" bestFit="1" customWidth="1"/>
    <col min="2" max="2" width="15.54296875" bestFit="1" customWidth="1"/>
    <col min="3" max="3" width="11.81640625" bestFit="1" customWidth="1"/>
    <col min="4" max="4" width="27.7265625" bestFit="1" customWidth="1"/>
  </cols>
  <sheetData>
    <row r="3" spans="1:4" x14ac:dyDescent="0.35">
      <c r="A3" t="s">
        <v>65</v>
      </c>
      <c r="B3" t="s">
        <v>81</v>
      </c>
      <c r="C3" t="s">
        <v>80</v>
      </c>
      <c r="D3" t="s">
        <v>83</v>
      </c>
    </row>
    <row r="4" spans="1:4" x14ac:dyDescent="0.35">
      <c r="A4" s="13">
        <v>119920182.25999992</v>
      </c>
      <c r="B4" s="13">
        <v>1132082</v>
      </c>
      <c r="C4" s="13">
        <v>17136425.260000009</v>
      </c>
      <c r="D4" s="16">
        <v>7.2940340909091031E-2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45D3-B984-4443-AF85-F6B8D3B753D1}">
  <dimension ref="A1"/>
  <sheetViews>
    <sheetView showGridLines="0" topLeftCell="A31" zoomScale="63" zoomScaleNormal="63" workbookViewId="0">
      <selection activeCell="AC65" sqref="AC65"/>
    </sheetView>
  </sheetViews>
  <sheetFormatPr defaultRowHeight="14.5" x14ac:dyDescent="0.35"/>
  <sheetData/>
  <pageMargins left="0.7" right="0.7" top="0.75" bottom="0.75" header="0.3" footer="0.3"/>
  <pageSetup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527E-E707-47BB-B46B-6D3FF3980088}">
  <dimension ref="A1"/>
  <sheetViews>
    <sheetView showGridLines="0" showRowColHeaders="0" tabSelected="1" zoomScale="58" zoomScaleNormal="58" workbookViewId="0">
      <selection activeCell="D41" sqref="D41"/>
    </sheetView>
  </sheetViews>
  <sheetFormatPr defaultRowHeight="14.5" x14ac:dyDescent="0.35"/>
  <sheetData/>
  <pageMargins left="0.7" right="0.7" top="0.75" bottom="0.75" header="0.3" footer="0.3"/>
  <pageSetup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EADFD-235F-4947-824B-C183225C67C4}">
  <dimension ref="A1:R708"/>
  <sheetViews>
    <sheetView workbookViewId="0">
      <selection activeCell="C1" sqref="C1"/>
    </sheetView>
  </sheetViews>
  <sheetFormatPr defaultRowHeight="14.5" x14ac:dyDescent="0.35"/>
  <cols>
    <col min="1" max="1" width="15.1796875" bestFit="1" customWidth="1"/>
    <col min="2" max="2" width="21.81640625" bestFit="1" customWidth="1"/>
    <col min="3" max="3" width="9.26953125" customWidth="1"/>
    <col min="4" max="4" width="14.81640625" customWidth="1"/>
    <col min="5" max="5" width="11.08984375" style="9" customWidth="1"/>
    <col min="6" max="6" width="19.54296875" customWidth="1"/>
    <col min="7" max="7" width="10.6328125" customWidth="1"/>
    <col min="8" max="8" width="12.1796875" customWidth="1"/>
    <col min="9" max="9" width="10.90625" customWidth="1"/>
    <col min="10" max="10" width="12.54296875" bestFit="1" customWidth="1"/>
    <col min="11" max="12" width="11.08984375" bestFit="1" customWidth="1"/>
    <col min="13" max="13" width="11.7265625" bestFit="1" customWidth="1"/>
    <col min="14" max="14" width="15.7265625" customWidth="1"/>
    <col min="15" max="15" width="13.81640625" customWidth="1"/>
    <col min="17" max="17" width="20.453125" bestFit="1" customWidth="1"/>
  </cols>
  <sheetData>
    <row r="1" spans="1:17" x14ac:dyDescent="0.35">
      <c r="A1" t="s">
        <v>6</v>
      </c>
      <c r="B1" t="s">
        <v>36</v>
      </c>
      <c r="C1" t="s">
        <v>37</v>
      </c>
      <c r="D1" t="s">
        <v>44</v>
      </c>
      <c r="E1" s="9" t="s">
        <v>4</v>
      </c>
      <c r="F1" t="s">
        <v>5</v>
      </c>
      <c r="G1" t="s">
        <v>35</v>
      </c>
      <c r="H1" t="s">
        <v>1</v>
      </c>
      <c r="I1" t="s">
        <v>2</v>
      </c>
      <c r="J1" t="s">
        <v>64</v>
      </c>
      <c r="K1" t="s">
        <v>3</v>
      </c>
      <c r="L1" t="s">
        <v>33</v>
      </c>
      <c r="M1" t="s">
        <v>12</v>
      </c>
      <c r="N1" t="s">
        <v>13</v>
      </c>
      <c r="O1" t="s">
        <v>49</v>
      </c>
      <c r="P1" t="s">
        <v>0</v>
      </c>
      <c r="Q1" t="s">
        <v>82</v>
      </c>
    </row>
    <row r="2" spans="1:17" x14ac:dyDescent="0.35">
      <c r="A2" t="s">
        <v>10</v>
      </c>
      <c r="B2" t="s">
        <v>16</v>
      </c>
      <c r="C2" t="s">
        <v>38</v>
      </c>
      <c r="D2" t="s">
        <v>45</v>
      </c>
      <c r="E2" s="9">
        <v>1618.5</v>
      </c>
      <c r="F2">
        <v>3</v>
      </c>
      <c r="G2">
        <v>20</v>
      </c>
      <c r="H2" s="9">
        <v>32370</v>
      </c>
      <c r="I2" s="9">
        <v>0</v>
      </c>
      <c r="J2" s="9">
        <v>32370</v>
      </c>
      <c r="K2" s="9">
        <v>16185</v>
      </c>
      <c r="L2" s="9">
        <v>16185</v>
      </c>
      <c r="M2" s="10">
        <v>41640</v>
      </c>
      <c r="N2">
        <v>1</v>
      </c>
      <c r="O2" t="s">
        <v>21</v>
      </c>
      <c r="P2" t="s">
        <v>15</v>
      </c>
      <c r="Q2" s="15">
        <f>Table2[[#This Row],[Discounts]]/Table2[[#This Row],[Gross Sales]]</f>
        <v>0</v>
      </c>
    </row>
    <row r="3" spans="1:17" x14ac:dyDescent="0.35">
      <c r="A3" t="s">
        <v>10</v>
      </c>
      <c r="B3" t="s">
        <v>19</v>
      </c>
      <c r="C3" t="s">
        <v>38</v>
      </c>
      <c r="D3" t="s">
        <v>45</v>
      </c>
      <c r="E3" s="9">
        <v>1321</v>
      </c>
      <c r="F3">
        <v>3</v>
      </c>
      <c r="G3">
        <v>20</v>
      </c>
      <c r="H3" s="9">
        <v>26420</v>
      </c>
      <c r="I3" s="9">
        <v>0</v>
      </c>
      <c r="J3" s="9">
        <v>26420</v>
      </c>
      <c r="K3" s="9">
        <v>13210</v>
      </c>
      <c r="L3" s="9">
        <v>13210</v>
      </c>
      <c r="M3" s="10">
        <v>41640</v>
      </c>
      <c r="N3">
        <v>1</v>
      </c>
      <c r="O3" t="s">
        <v>21</v>
      </c>
      <c r="P3" t="s">
        <v>15</v>
      </c>
      <c r="Q3" s="15">
        <f>Table2[[#This Row],[Discounts]]/Table2[[#This Row],[Gross Sales]]</f>
        <v>0</v>
      </c>
    </row>
    <row r="4" spans="1:17" x14ac:dyDescent="0.35">
      <c r="A4" t="s">
        <v>8</v>
      </c>
      <c r="B4" t="s">
        <v>18</v>
      </c>
      <c r="C4" t="s">
        <v>38</v>
      </c>
      <c r="D4" t="s">
        <v>45</v>
      </c>
      <c r="E4" s="9">
        <v>2178</v>
      </c>
      <c r="F4">
        <v>3</v>
      </c>
      <c r="G4">
        <v>15</v>
      </c>
      <c r="H4" s="9">
        <v>32670</v>
      </c>
      <c r="I4" s="9">
        <v>0</v>
      </c>
      <c r="J4" s="9">
        <v>32670</v>
      </c>
      <c r="K4" s="9">
        <v>21780</v>
      </c>
      <c r="L4" s="9">
        <v>10890</v>
      </c>
      <c r="M4" s="10">
        <v>41791</v>
      </c>
      <c r="N4">
        <v>6</v>
      </c>
      <c r="O4" t="s">
        <v>26</v>
      </c>
      <c r="P4" t="s">
        <v>15</v>
      </c>
      <c r="Q4" s="15">
        <f>Table2[[#This Row],[Discounts]]/Table2[[#This Row],[Gross Sales]]</f>
        <v>0</v>
      </c>
    </row>
    <row r="5" spans="1:17" x14ac:dyDescent="0.35">
      <c r="A5" t="s">
        <v>8</v>
      </c>
      <c r="B5" t="s">
        <v>19</v>
      </c>
      <c r="C5" t="s">
        <v>38</v>
      </c>
      <c r="D5" t="s">
        <v>45</v>
      </c>
      <c r="E5" s="9">
        <v>888</v>
      </c>
      <c r="F5">
        <v>3</v>
      </c>
      <c r="G5">
        <v>15</v>
      </c>
      <c r="H5" s="9">
        <v>13320</v>
      </c>
      <c r="I5" s="9">
        <v>0</v>
      </c>
      <c r="J5" s="9">
        <v>13320</v>
      </c>
      <c r="K5" s="9">
        <v>8880</v>
      </c>
      <c r="L5" s="9">
        <v>4440</v>
      </c>
      <c r="M5" s="10">
        <v>41791</v>
      </c>
      <c r="N5">
        <v>6</v>
      </c>
      <c r="O5" t="s">
        <v>26</v>
      </c>
      <c r="P5" t="s">
        <v>15</v>
      </c>
      <c r="Q5" s="15">
        <f>Table2[[#This Row],[Discounts]]/Table2[[#This Row],[Gross Sales]]</f>
        <v>0</v>
      </c>
    </row>
    <row r="6" spans="1:17" x14ac:dyDescent="0.35">
      <c r="A6" t="s">
        <v>8</v>
      </c>
      <c r="B6" t="s">
        <v>20</v>
      </c>
      <c r="C6" t="s">
        <v>38</v>
      </c>
      <c r="D6" t="s">
        <v>45</v>
      </c>
      <c r="E6" s="9">
        <v>2470</v>
      </c>
      <c r="F6">
        <v>3</v>
      </c>
      <c r="G6">
        <v>15</v>
      </c>
      <c r="H6" s="9">
        <v>37050</v>
      </c>
      <c r="I6" s="9">
        <v>0</v>
      </c>
      <c r="J6" s="9">
        <v>37050</v>
      </c>
      <c r="K6" s="9">
        <v>24700</v>
      </c>
      <c r="L6" s="9">
        <v>12350</v>
      </c>
      <c r="M6" s="10">
        <v>41791</v>
      </c>
      <c r="N6">
        <v>6</v>
      </c>
      <c r="O6" t="s">
        <v>26</v>
      </c>
      <c r="P6" t="s">
        <v>15</v>
      </c>
      <c r="Q6" s="15">
        <f>Table2[[#This Row],[Discounts]]/Table2[[#This Row],[Gross Sales]]</f>
        <v>0</v>
      </c>
    </row>
    <row r="7" spans="1:17" x14ac:dyDescent="0.35">
      <c r="A7" t="s">
        <v>10</v>
      </c>
      <c r="B7" t="s">
        <v>19</v>
      </c>
      <c r="C7" t="s">
        <v>38</v>
      </c>
      <c r="D7" t="s">
        <v>45</v>
      </c>
      <c r="E7" s="9">
        <v>1513</v>
      </c>
      <c r="F7">
        <v>3</v>
      </c>
      <c r="G7">
        <v>350</v>
      </c>
      <c r="H7" s="9">
        <v>529550</v>
      </c>
      <c r="I7" s="9">
        <v>0</v>
      </c>
      <c r="J7" s="9">
        <v>529550</v>
      </c>
      <c r="K7" s="9">
        <v>393380</v>
      </c>
      <c r="L7" s="9">
        <v>136170</v>
      </c>
      <c r="M7" s="10">
        <v>41974</v>
      </c>
      <c r="N7">
        <v>12</v>
      </c>
      <c r="O7" t="s">
        <v>32</v>
      </c>
      <c r="P7" t="s">
        <v>15</v>
      </c>
      <c r="Q7" s="15">
        <f>Table2[[#This Row],[Discounts]]/Table2[[#This Row],[Gross Sales]]</f>
        <v>0</v>
      </c>
    </row>
    <row r="8" spans="1:17" x14ac:dyDescent="0.35">
      <c r="A8" t="s">
        <v>8</v>
      </c>
      <c r="B8" t="s">
        <v>19</v>
      </c>
      <c r="C8" t="s">
        <v>39</v>
      </c>
      <c r="D8" t="s">
        <v>45</v>
      </c>
      <c r="E8" s="9">
        <v>921</v>
      </c>
      <c r="F8">
        <v>5</v>
      </c>
      <c r="G8">
        <v>15</v>
      </c>
      <c r="H8" s="9">
        <v>13815</v>
      </c>
      <c r="I8" s="9">
        <v>0</v>
      </c>
      <c r="J8" s="9">
        <v>13815</v>
      </c>
      <c r="K8" s="9">
        <v>9210</v>
      </c>
      <c r="L8" s="9">
        <v>4605</v>
      </c>
      <c r="M8" s="10">
        <v>41699</v>
      </c>
      <c r="N8">
        <v>3</v>
      </c>
      <c r="O8" t="s">
        <v>23</v>
      </c>
      <c r="P8" t="s">
        <v>15</v>
      </c>
      <c r="Q8" s="15">
        <f>Table2[[#This Row],[Discounts]]/Table2[[#This Row],[Gross Sales]]</f>
        <v>0</v>
      </c>
    </row>
    <row r="9" spans="1:17" x14ac:dyDescent="0.35">
      <c r="A9" t="s">
        <v>11</v>
      </c>
      <c r="B9" t="s">
        <v>16</v>
      </c>
      <c r="C9" t="s">
        <v>39</v>
      </c>
      <c r="D9" t="s">
        <v>45</v>
      </c>
      <c r="E9" s="9">
        <v>2518</v>
      </c>
      <c r="F9">
        <v>5</v>
      </c>
      <c r="G9">
        <v>12</v>
      </c>
      <c r="H9" s="9">
        <v>30216</v>
      </c>
      <c r="I9" s="9">
        <v>0</v>
      </c>
      <c r="J9" s="9">
        <v>30216</v>
      </c>
      <c r="K9" s="9">
        <v>7554</v>
      </c>
      <c r="L9" s="9">
        <v>22662</v>
      </c>
      <c r="M9" s="10">
        <v>41791</v>
      </c>
      <c r="N9">
        <v>6</v>
      </c>
      <c r="O9" t="s">
        <v>26</v>
      </c>
      <c r="P9" t="s">
        <v>15</v>
      </c>
      <c r="Q9" s="15">
        <f>Table2[[#This Row],[Discounts]]/Table2[[#This Row],[Gross Sales]]</f>
        <v>0</v>
      </c>
    </row>
    <row r="10" spans="1:17" x14ac:dyDescent="0.35">
      <c r="A10" t="s">
        <v>10</v>
      </c>
      <c r="B10" t="s">
        <v>18</v>
      </c>
      <c r="C10" t="s">
        <v>39</v>
      </c>
      <c r="D10" t="s">
        <v>45</v>
      </c>
      <c r="E10" s="9">
        <v>1899</v>
      </c>
      <c r="F10">
        <v>5</v>
      </c>
      <c r="G10">
        <v>20</v>
      </c>
      <c r="H10" s="9">
        <v>37980</v>
      </c>
      <c r="I10" s="9">
        <v>0</v>
      </c>
      <c r="J10" s="9">
        <v>37980</v>
      </c>
      <c r="K10" s="9">
        <v>18990</v>
      </c>
      <c r="L10" s="9">
        <v>18990</v>
      </c>
      <c r="M10" s="10">
        <v>41791</v>
      </c>
      <c r="N10">
        <v>6</v>
      </c>
      <c r="O10" t="s">
        <v>26</v>
      </c>
      <c r="P10" t="s">
        <v>15</v>
      </c>
      <c r="Q10" s="15">
        <f>Table2[[#This Row],[Discounts]]/Table2[[#This Row],[Gross Sales]]</f>
        <v>0</v>
      </c>
    </row>
    <row r="11" spans="1:17" x14ac:dyDescent="0.35">
      <c r="A11" t="s">
        <v>11</v>
      </c>
      <c r="B11" t="s">
        <v>19</v>
      </c>
      <c r="C11" t="s">
        <v>39</v>
      </c>
      <c r="D11" t="s">
        <v>45</v>
      </c>
      <c r="E11" s="9">
        <v>1545</v>
      </c>
      <c r="F11">
        <v>5</v>
      </c>
      <c r="G11">
        <v>12</v>
      </c>
      <c r="H11" s="9">
        <v>18540</v>
      </c>
      <c r="I11" s="9">
        <v>0</v>
      </c>
      <c r="J11" s="9">
        <v>18540</v>
      </c>
      <c r="K11" s="9">
        <v>4635</v>
      </c>
      <c r="L11" s="9">
        <v>13905</v>
      </c>
      <c r="M11" s="10">
        <v>41791</v>
      </c>
      <c r="N11">
        <v>6</v>
      </c>
      <c r="O11" t="s">
        <v>26</v>
      </c>
      <c r="P11" t="s">
        <v>15</v>
      </c>
      <c r="Q11" s="15">
        <f>Table2[[#This Row],[Discounts]]/Table2[[#This Row],[Gross Sales]]</f>
        <v>0</v>
      </c>
    </row>
    <row r="12" spans="1:17" x14ac:dyDescent="0.35">
      <c r="A12" t="s">
        <v>8</v>
      </c>
      <c r="B12" t="s">
        <v>20</v>
      </c>
      <c r="C12" t="s">
        <v>39</v>
      </c>
      <c r="D12" t="s">
        <v>45</v>
      </c>
      <c r="E12" s="9">
        <v>2470</v>
      </c>
      <c r="F12">
        <v>5</v>
      </c>
      <c r="G12">
        <v>15</v>
      </c>
      <c r="H12" s="9">
        <v>37050</v>
      </c>
      <c r="I12" s="9">
        <v>0</v>
      </c>
      <c r="J12" s="9">
        <v>37050</v>
      </c>
      <c r="K12" s="9">
        <v>24700</v>
      </c>
      <c r="L12" s="9">
        <v>12350</v>
      </c>
      <c r="M12" s="10">
        <v>41791</v>
      </c>
      <c r="N12">
        <v>6</v>
      </c>
      <c r="O12" t="s">
        <v>26</v>
      </c>
      <c r="P12" t="s">
        <v>15</v>
      </c>
      <c r="Q12" s="15">
        <f>Table2[[#This Row],[Discounts]]/Table2[[#This Row],[Gross Sales]]</f>
        <v>0</v>
      </c>
    </row>
    <row r="13" spans="1:17" x14ac:dyDescent="0.35">
      <c r="A13" t="s">
        <v>9</v>
      </c>
      <c r="B13" t="s">
        <v>16</v>
      </c>
      <c r="C13" t="s">
        <v>39</v>
      </c>
      <c r="D13" t="s">
        <v>45</v>
      </c>
      <c r="E13" s="9">
        <v>2665.5</v>
      </c>
      <c r="F13">
        <v>5</v>
      </c>
      <c r="G13">
        <v>125</v>
      </c>
      <c r="H13" s="9">
        <v>333187.5</v>
      </c>
      <c r="I13" s="9">
        <v>0</v>
      </c>
      <c r="J13" s="9">
        <v>333187.5</v>
      </c>
      <c r="K13" s="9">
        <v>319860</v>
      </c>
      <c r="L13" s="9">
        <v>13327.5</v>
      </c>
      <c r="M13" s="10">
        <v>41821</v>
      </c>
      <c r="N13">
        <v>7</v>
      </c>
      <c r="O13" t="s">
        <v>27</v>
      </c>
      <c r="P13" t="s">
        <v>15</v>
      </c>
      <c r="Q13" s="15">
        <f>Table2[[#This Row],[Discounts]]/Table2[[#This Row],[Gross Sales]]</f>
        <v>0</v>
      </c>
    </row>
    <row r="14" spans="1:17" x14ac:dyDescent="0.35">
      <c r="A14" t="s">
        <v>7</v>
      </c>
      <c r="B14" t="s">
        <v>20</v>
      </c>
      <c r="C14" t="s">
        <v>39</v>
      </c>
      <c r="D14" t="s">
        <v>45</v>
      </c>
      <c r="E14" s="9">
        <v>958</v>
      </c>
      <c r="F14">
        <v>5</v>
      </c>
      <c r="G14">
        <v>300</v>
      </c>
      <c r="H14" s="9">
        <v>287400</v>
      </c>
      <c r="I14" s="9">
        <v>0</v>
      </c>
      <c r="J14" s="9">
        <v>287400</v>
      </c>
      <c r="K14" s="9">
        <v>239500</v>
      </c>
      <c r="L14" s="9">
        <v>47900</v>
      </c>
      <c r="M14" s="10">
        <v>41852</v>
      </c>
      <c r="N14">
        <v>8</v>
      </c>
      <c r="O14" t="s">
        <v>28</v>
      </c>
      <c r="P14" t="s">
        <v>15</v>
      </c>
      <c r="Q14" s="15">
        <f>Table2[[#This Row],[Discounts]]/Table2[[#This Row],[Gross Sales]]</f>
        <v>0</v>
      </c>
    </row>
    <row r="15" spans="1:17" x14ac:dyDescent="0.35">
      <c r="A15" t="s">
        <v>10</v>
      </c>
      <c r="B15" t="s">
        <v>19</v>
      </c>
      <c r="C15" t="s">
        <v>39</v>
      </c>
      <c r="D15" t="s">
        <v>45</v>
      </c>
      <c r="E15" s="9">
        <v>2146</v>
      </c>
      <c r="F15">
        <v>5</v>
      </c>
      <c r="G15">
        <v>7</v>
      </c>
      <c r="H15" s="9">
        <v>15022</v>
      </c>
      <c r="I15" s="9">
        <v>0</v>
      </c>
      <c r="J15" s="9">
        <v>15022</v>
      </c>
      <c r="K15" s="9">
        <v>10730</v>
      </c>
      <c r="L15" s="9">
        <v>4292</v>
      </c>
      <c r="M15" s="10">
        <v>41883</v>
      </c>
      <c r="N15">
        <v>9</v>
      </c>
      <c r="O15" t="s">
        <v>29</v>
      </c>
      <c r="P15" t="s">
        <v>15</v>
      </c>
      <c r="Q15" s="15">
        <f>Table2[[#This Row],[Discounts]]/Table2[[#This Row],[Gross Sales]]</f>
        <v>0</v>
      </c>
    </row>
    <row r="16" spans="1:17" x14ac:dyDescent="0.35">
      <c r="A16" t="s">
        <v>9</v>
      </c>
      <c r="B16" t="s">
        <v>16</v>
      </c>
      <c r="C16" t="s">
        <v>39</v>
      </c>
      <c r="D16" t="s">
        <v>45</v>
      </c>
      <c r="E16" s="9">
        <v>345</v>
      </c>
      <c r="F16">
        <v>5</v>
      </c>
      <c r="G16">
        <v>125</v>
      </c>
      <c r="H16" s="9">
        <v>43125</v>
      </c>
      <c r="I16" s="9">
        <v>0</v>
      </c>
      <c r="J16" s="9">
        <v>43125</v>
      </c>
      <c r="K16" s="9">
        <v>41400</v>
      </c>
      <c r="L16" s="9">
        <v>1725</v>
      </c>
      <c r="M16" s="10">
        <v>41548</v>
      </c>
      <c r="N16">
        <v>10</v>
      </c>
      <c r="O16" t="s">
        <v>30</v>
      </c>
      <c r="P16" t="s">
        <v>14</v>
      </c>
      <c r="Q16" s="15">
        <f>Table2[[#This Row],[Discounts]]/Table2[[#This Row],[Gross Sales]]</f>
        <v>0</v>
      </c>
    </row>
    <row r="17" spans="1:17" x14ac:dyDescent="0.35">
      <c r="A17" t="s">
        <v>8</v>
      </c>
      <c r="B17" t="s">
        <v>92</v>
      </c>
      <c r="C17" t="s">
        <v>39</v>
      </c>
      <c r="D17" t="s">
        <v>45</v>
      </c>
      <c r="E17" s="9">
        <v>615</v>
      </c>
      <c r="F17">
        <v>5</v>
      </c>
      <c r="G17">
        <v>15</v>
      </c>
      <c r="H17" s="9">
        <v>9225</v>
      </c>
      <c r="I17" s="9">
        <v>0</v>
      </c>
      <c r="J17" s="9">
        <v>9225</v>
      </c>
      <c r="K17" s="9">
        <v>6150</v>
      </c>
      <c r="L17" s="9">
        <v>3075</v>
      </c>
      <c r="M17" s="10">
        <v>41974</v>
      </c>
      <c r="N17">
        <v>12</v>
      </c>
      <c r="O17" t="s">
        <v>32</v>
      </c>
      <c r="P17" t="s">
        <v>15</v>
      </c>
      <c r="Q17" s="15">
        <f>Table2[[#This Row],[Discounts]]/Table2[[#This Row],[Gross Sales]]</f>
        <v>0</v>
      </c>
    </row>
    <row r="18" spans="1:17" x14ac:dyDescent="0.35">
      <c r="A18" t="s">
        <v>10</v>
      </c>
      <c r="B18" t="s">
        <v>16</v>
      </c>
      <c r="C18" t="s">
        <v>40</v>
      </c>
      <c r="D18" t="s">
        <v>45</v>
      </c>
      <c r="E18" s="9">
        <v>292</v>
      </c>
      <c r="F18">
        <v>10</v>
      </c>
      <c r="G18">
        <v>20</v>
      </c>
      <c r="H18" s="9">
        <v>5840</v>
      </c>
      <c r="I18" s="9">
        <v>0</v>
      </c>
      <c r="J18" s="9">
        <v>5840</v>
      </c>
      <c r="K18" s="9">
        <v>2920</v>
      </c>
      <c r="L18" s="9">
        <v>2920</v>
      </c>
      <c r="M18" s="10">
        <v>41671</v>
      </c>
      <c r="N18">
        <v>2</v>
      </c>
      <c r="O18" t="s">
        <v>22</v>
      </c>
      <c r="P18" t="s">
        <v>15</v>
      </c>
      <c r="Q18" s="15">
        <f>Table2[[#This Row],[Discounts]]/Table2[[#This Row],[Gross Sales]]</f>
        <v>0</v>
      </c>
    </row>
    <row r="19" spans="1:17" x14ac:dyDescent="0.35">
      <c r="A19" t="s">
        <v>8</v>
      </c>
      <c r="B19" t="s">
        <v>20</v>
      </c>
      <c r="C19" t="s">
        <v>40</v>
      </c>
      <c r="D19" t="s">
        <v>45</v>
      </c>
      <c r="E19" s="9">
        <v>974</v>
      </c>
      <c r="F19">
        <v>10</v>
      </c>
      <c r="G19">
        <v>15</v>
      </c>
      <c r="H19" s="9">
        <v>14610</v>
      </c>
      <c r="I19" s="9">
        <v>0</v>
      </c>
      <c r="J19" s="9">
        <v>14610</v>
      </c>
      <c r="K19" s="9">
        <v>9740</v>
      </c>
      <c r="L19" s="9">
        <v>4870</v>
      </c>
      <c r="M19" s="10">
        <v>41671</v>
      </c>
      <c r="N19">
        <v>2</v>
      </c>
      <c r="O19" t="s">
        <v>22</v>
      </c>
      <c r="P19" t="s">
        <v>15</v>
      </c>
      <c r="Q19" s="15">
        <f>Table2[[#This Row],[Discounts]]/Table2[[#This Row],[Gross Sales]]</f>
        <v>0</v>
      </c>
    </row>
    <row r="20" spans="1:17" x14ac:dyDescent="0.35">
      <c r="A20" t="s">
        <v>11</v>
      </c>
      <c r="B20" t="s">
        <v>16</v>
      </c>
      <c r="C20" t="s">
        <v>40</v>
      </c>
      <c r="D20" t="s">
        <v>45</v>
      </c>
      <c r="E20" s="9">
        <v>2518</v>
      </c>
      <c r="F20">
        <v>10</v>
      </c>
      <c r="G20">
        <v>12</v>
      </c>
      <c r="H20" s="9">
        <v>30216</v>
      </c>
      <c r="I20" s="9">
        <v>0</v>
      </c>
      <c r="J20" s="9">
        <v>30216</v>
      </c>
      <c r="K20" s="9">
        <v>7554</v>
      </c>
      <c r="L20" s="9">
        <v>22662</v>
      </c>
      <c r="M20" s="10">
        <v>41791</v>
      </c>
      <c r="N20">
        <v>6</v>
      </c>
      <c r="O20" t="s">
        <v>26</v>
      </c>
      <c r="P20" t="s">
        <v>15</v>
      </c>
      <c r="Q20" s="15">
        <f>Table2[[#This Row],[Discounts]]/Table2[[#This Row],[Gross Sales]]</f>
        <v>0</v>
      </c>
    </row>
    <row r="21" spans="1:17" x14ac:dyDescent="0.35">
      <c r="A21" t="s">
        <v>10</v>
      </c>
      <c r="B21" t="s">
        <v>19</v>
      </c>
      <c r="C21" t="s">
        <v>40</v>
      </c>
      <c r="D21" t="s">
        <v>45</v>
      </c>
      <c r="E21" s="9">
        <v>1006</v>
      </c>
      <c r="F21">
        <v>10</v>
      </c>
      <c r="G21">
        <v>350</v>
      </c>
      <c r="H21" s="9">
        <v>352100</v>
      </c>
      <c r="I21" s="9">
        <v>0</v>
      </c>
      <c r="J21" s="9">
        <v>352100</v>
      </c>
      <c r="K21" s="9">
        <v>261560</v>
      </c>
      <c r="L21" s="9">
        <v>90540</v>
      </c>
      <c r="M21" s="10">
        <v>41791</v>
      </c>
      <c r="N21">
        <v>6</v>
      </c>
      <c r="O21" t="s">
        <v>26</v>
      </c>
      <c r="P21" t="s">
        <v>15</v>
      </c>
      <c r="Q21" s="15">
        <f>Table2[[#This Row],[Discounts]]/Table2[[#This Row],[Gross Sales]]</f>
        <v>0</v>
      </c>
    </row>
    <row r="22" spans="1:17" x14ac:dyDescent="0.35">
      <c r="A22" t="s">
        <v>11</v>
      </c>
      <c r="B22" t="s">
        <v>19</v>
      </c>
      <c r="C22" t="s">
        <v>40</v>
      </c>
      <c r="D22" t="s">
        <v>45</v>
      </c>
      <c r="E22" s="9">
        <v>367</v>
      </c>
      <c r="F22">
        <v>10</v>
      </c>
      <c r="G22">
        <v>12</v>
      </c>
      <c r="H22" s="9">
        <v>4404</v>
      </c>
      <c r="I22" s="9">
        <v>0</v>
      </c>
      <c r="J22" s="9">
        <v>4404</v>
      </c>
      <c r="K22" s="9">
        <v>1101</v>
      </c>
      <c r="L22" s="9">
        <v>3303</v>
      </c>
      <c r="M22" s="10">
        <v>41821</v>
      </c>
      <c r="N22">
        <v>7</v>
      </c>
      <c r="O22" t="s">
        <v>27</v>
      </c>
      <c r="P22" t="s">
        <v>15</v>
      </c>
      <c r="Q22" s="15">
        <f>Table2[[#This Row],[Discounts]]/Table2[[#This Row],[Gross Sales]]</f>
        <v>0</v>
      </c>
    </row>
    <row r="23" spans="1:17" x14ac:dyDescent="0.35">
      <c r="A23" t="s">
        <v>10</v>
      </c>
      <c r="B23" t="s">
        <v>20</v>
      </c>
      <c r="C23" t="s">
        <v>40</v>
      </c>
      <c r="D23" t="s">
        <v>45</v>
      </c>
      <c r="E23" s="9">
        <v>883</v>
      </c>
      <c r="F23">
        <v>10</v>
      </c>
      <c r="G23">
        <v>7</v>
      </c>
      <c r="H23" s="9">
        <v>6181</v>
      </c>
      <c r="I23" s="9">
        <v>0</v>
      </c>
      <c r="J23" s="9">
        <v>6181</v>
      </c>
      <c r="K23" s="9">
        <v>4415</v>
      </c>
      <c r="L23" s="9">
        <v>1766</v>
      </c>
      <c r="M23" s="10">
        <v>41852</v>
      </c>
      <c r="N23">
        <v>8</v>
      </c>
      <c r="O23" t="s">
        <v>28</v>
      </c>
      <c r="P23" t="s">
        <v>15</v>
      </c>
      <c r="Q23" s="15">
        <f>Table2[[#This Row],[Discounts]]/Table2[[#This Row],[Gross Sales]]</f>
        <v>0</v>
      </c>
    </row>
    <row r="24" spans="1:17" x14ac:dyDescent="0.35">
      <c r="A24" t="s">
        <v>8</v>
      </c>
      <c r="B24" t="s">
        <v>18</v>
      </c>
      <c r="C24" t="s">
        <v>40</v>
      </c>
      <c r="D24" t="s">
        <v>45</v>
      </c>
      <c r="E24" s="9">
        <v>549</v>
      </c>
      <c r="F24">
        <v>10</v>
      </c>
      <c r="G24">
        <v>15</v>
      </c>
      <c r="H24" s="9">
        <v>8235</v>
      </c>
      <c r="I24" s="9">
        <v>0</v>
      </c>
      <c r="J24" s="9">
        <v>8235</v>
      </c>
      <c r="K24" s="9">
        <v>5490</v>
      </c>
      <c r="L24" s="9">
        <v>2745</v>
      </c>
      <c r="M24" s="10">
        <v>41518</v>
      </c>
      <c r="N24">
        <v>9</v>
      </c>
      <c r="O24" t="s">
        <v>29</v>
      </c>
      <c r="P24" t="s">
        <v>14</v>
      </c>
      <c r="Q24" s="15">
        <f>Table2[[#This Row],[Discounts]]/Table2[[#This Row],[Gross Sales]]</f>
        <v>0</v>
      </c>
    </row>
    <row r="25" spans="1:17" x14ac:dyDescent="0.35">
      <c r="A25" t="s">
        <v>7</v>
      </c>
      <c r="B25" t="s">
        <v>20</v>
      </c>
      <c r="C25" t="s">
        <v>40</v>
      </c>
      <c r="D25" t="s">
        <v>45</v>
      </c>
      <c r="E25" s="9">
        <v>788</v>
      </c>
      <c r="F25">
        <v>10</v>
      </c>
      <c r="G25">
        <v>300</v>
      </c>
      <c r="H25" s="9">
        <v>236400</v>
      </c>
      <c r="I25" s="9">
        <v>0</v>
      </c>
      <c r="J25" s="9">
        <v>236400</v>
      </c>
      <c r="K25" s="9">
        <v>197000</v>
      </c>
      <c r="L25" s="9">
        <v>39400</v>
      </c>
      <c r="M25" s="10">
        <v>41518</v>
      </c>
      <c r="N25">
        <v>9</v>
      </c>
      <c r="O25" t="s">
        <v>29</v>
      </c>
      <c r="P25" t="s">
        <v>14</v>
      </c>
      <c r="Q25" s="15">
        <f>Table2[[#This Row],[Discounts]]/Table2[[#This Row],[Gross Sales]]</f>
        <v>0</v>
      </c>
    </row>
    <row r="26" spans="1:17" x14ac:dyDescent="0.35">
      <c r="A26" t="s">
        <v>8</v>
      </c>
      <c r="B26" t="s">
        <v>20</v>
      </c>
      <c r="C26" t="s">
        <v>40</v>
      </c>
      <c r="D26" t="s">
        <v>45</v>
      </c>
      <c r="E26" s="9">
        <v>2472</v>
      </c>
      <c r="F26">
        <v>10</v>
      </c>
      <c r="G26">
        <v>15</v>
      </c>
      <c r="H26" s="9">
        <v>37080</v>
      </c>
      <c r="I26" s="9">
        <v>0</v>
      </c>
      <c r="J26" s="9">
        <v>37080</v>
      </c>
      <c r="K26" s="9">
        <v>24720</v>
      </c>
      <c r="L26" s="9">
        <v>12360</v>
      </c>
      <c r="M26" s="10">
        <v>41883</v>
      </c>
      <c r="N26">
        <v>9</v>
      </c>
      <c r="O26" t="s">
        <v>29</v>
      </c>
      <c r="P26" t="s">
        <v>15</v>
      </c>
      <c r="Q26" s="15">
        <f>Table2[[#This Row],[Discounts]]/Table2[[#This Row],[Gross Sales]]</f>
        <v>0</v>
      </c>
    </row>
    <row r="27" spans="1:17" x14ac:dyDescent="0.35">
      <c r="A27" t="s">
        <v>10</v>
      </c>
      <c r="B27" t="s">
        <v>92</v>
      </c>
      <c r="C27" t="s">
        <v>40</v>
      </c>
      <c r="D27" t="s">
        <v>45</v>
      </c>
      <c r="E27" s="9">
        <v>1143</v>
      </c>
      <c r="F27">
        <v>10</v>
      </c>
      <c r="G27">
        <v>7</v>
      </c>
      <c r="H27" s="9">
        <v>8001</v>
      </c>
      <c r="I27" s="9">
        <v>0</v>
      </c>
      <c r="J27" s="9">
        <v>8001</v>
      </c>
      <c r="K27" s="9">
        <v>5715</v>
      </c>
      <c r="L27" s="9">
        <v>2286</v>
      </c>
      <c r="M27" s="10">
        <v>41913</v>
      </c>
      <c r="N27">
        <v>10</v>
      </c>
      <c r="O27" t="s">
        <v>30</v>
      </c>
      <c r="P27" t="s">
        <v>15</v>
      </c>
      <c r="Q27" s="15">
        <f>Table2[[#This Row],[Discounts]]/Table2[[#This Row],[Gross Sales]]</f>
        <v>0</v>
      </c>
    </row>
    <row r="28" spans="1:17" x14ac:dyDescent="0.35">
      <c r="A28" t="s">
        <v>10</v>
      </c>
      <c r="B28" t="s">
        <v>16</v>
      </c>
      <c r="C28" t="s">
        <v>40</v>
      </c>
      <c r="D28" t="s">
        <v>45</v>
      </c>
      <c r="E28" s="9">
        <v>1725</v>
      </c>
      <c r="F28">
        <v>10</v>
      </c>
      <c r="G28">
        <v>350</v>
      </c>
      <c r="H28" s="9">
        <v>603750</v>
      </c>
      <c r="I28" s="9">
        <v>0</v>
      </c>
      <c r="J28" s="9">
        <v>603750</v>
      </c>
      <c r="K28" s="9">
        <v>448500</v>
      </c>
      <c r="L28" s="9">
        <v>155250</v>
      </c>
      <c r="M28" s="10">
        <v>41579</v>
      </c>
      <c r="N28">
        <v>11</v>
      </c>
      <c r="O28" t="s">
        <v>31</v>
      </c>
      <c r="P28" t="s">
        <v>14</v>
      </c>
      <c r="Q28" s="15">
        <f>Table2[[#This Row],[Discounts]]/Table2[[#This Row],[Gross Sales]]</f>
        <v>0</v>
      </c>
    </row>
    <row r="29" spans="1:17" x14ac:dyDescent="0.35">
      <c r="A29" t="s">
        <v>11</v>
      </c>
      <c r="B29" t="s">
        <v>92</v>
      </c>
      <c r="C29" t="s">
        <v>40</v>
      </c>
      <c r="D29" t="s">
        <v>45</v>
      </c>
      <c r="E29" s="9">
        <v>912</v>
      </c>
      <c r="F29">
        <v>10</v>
      </c>
      <c r="G29">
        <v>12</v>
      </c>
      <c r="H29" s="9">
        <v>10944</v>
      </c>
      <c r="I29" s="9">
        <v>0</v>
      </c>
      <c r="J29" s="9">
        <v>10944</v>
      </c>
      <c r="K29" s="9">
        <v>2736</v>
      </c>
      <c r="L29" s="9">
        <v>8208</v>
      </c>
      <c r="M29" s="10">
        <v>41579</v>
      </c>
      <c r="N29">
        <v>11</v>
      </c>
      <c r="O29" t="s">
        <v>31</v>
      </c>
      <c r="P29" t="s">
        <v>14</v>
      </c>
      <c r="Q29" s="15">
        <f>Table2[[#This Row],[Discounts]]/Table2[[#This Row],[Gross Sales]]</f>
        <v>0</v>
      </c>
    </row>
    <row r="30" spans="1:17" x14ac:dyDescent="0.35">
      <c r="A30" t="s">
        <v>8</v>
      </c>
      <c r="B30" t="s">
        <v>16</v>
      </c>
      <c r="C30" t="s">
        <v>40</v>
      </c>
      <c r="D30" t="s">
        <v>45</v>
      </c>
      <c r="E30" s="9">
        <v>2152</v>
      </c>
      <c r="F30">
        <v>10</v>
      </c>
      <c r="G30">
        <v>15</v>
      </c>
      <c r="H30" s="9">
        <v>32280</v>
      </c>
      <c r="I30" s="9">
        <v>0</v>
      </c>
      <c r="J30" s="9">
        <v>32280</v>
      </c>
      <c r="K30" s="9">
        <v>21520</v>
      </c>
      <c r="L30" s="9">
        <v>10760</v>
      </c>
      <c r="M30" s="10">
        <v>41609</v>
      </c>
      <c r="N30">
        <v>12</v>
      </c>
      <c r="O30" t="s">
        <v>32</v>
      </c>
      <c r="P30" t="s">
        <v>14</v>
      </c>
      <c r="Q30" s="15">
        <f>Table2[[#This Row],[Discounts]]/Table2[[#This Row],[Gross Sales]]</f>
        <v>0</v>
      </c>
    </row>
    <row r="31" spans="1:17" x14ac:dyDescent="0.35">
      <c r="A31" t="s">
        <v>10</v>
      </c>
      <c r="B31" t="s">
        <v>16</v>
      </c>
      <c r="C31" t="s">
        <v>40</v>
      </c>
      <c r="D31" t="s">
        <v>45</v>
      </c>
      <c r="E31" s="9">
        <v>1817</v>
      </c>
      <c r="F31">
        <v>10</v>
      </c>
      <c r="G31">
        <v>20</v>
      </c>
      <c r="H31" s="9">
        <v>36340</v>
      </c>
      <c r="I31" s="9">
        <v>0</v>
      </c>
      <c r="J31" s="9">
        <v>36340</v>
      </c>
      <c r="K31" s="9">
        <v>18170</v>
      </c>
      <c r="L31" s="9">
        <v>18170</v>
      </c>
      <c r="M31" s="10">
        <v>41974</v>
      </c>
      <c r="N31">
        <v>12</v>
      </c>
      <c r="O31" t="s">
        <v>32</v>
      </c>
      <c r="P31" t="s">
        <v>15</v>
      </c>
      <c r="Q31" s="15">
        <f>Table2[[#This Row],[Discounts]]/Table2[[#This Row],[Gross Sales]]</f>
        <v>0</v>
      </c>
    </row>
    <row r="32" spans="1:17" x14ac:dyDescent="0.35">
      <c r="A32" t="s">
        <v>10</v>
      </c>
      <c r="B32" t="s">
        <v>19</v>
      </c>
      <c r="C32" t="s">
        <v>40</v>
      </c>
      <c r="D32" t="s">
        <v>45</v>
      </c>
      <c r="E32" s="9">
        <v>1513</v>
      </c>
      <c r="F32">
        <v>10</v>
      </c>
      <c r="G32">
        <v>350</v>
      </c>
      <c r="H32" s="9">
        <v>529550</v>
      </c>
      <c r="I32" s="9">
        <v>0</v>
      </c>
      <c r="J32" s="9">
        <v>529550</v>
      </c>
      <c r="K32" s="9">
        <v>393380</v>
      </c>
      <c r="L32" s="9">
        <v>136170</v>
      </c>
      <c r="M32" s="10">
        <v>41974</v>
      </c>
      <c r="N32">
        <v>12</v>
      </c>
      <c r="O32" t="s">
        <v>32</v>
      </c>
      <c r="P32" t="s">
        <v>15</v>
      </c>
      <c r="Q32" s="15">
        <f>Table2[[#This Row],[Discounts]]/Table2[[#This Row],[Gross Sales]]</f>
        <v>0</v>
      </c>
    </row>
    <row r="33" spans="1:17" x14ac:dyDescent="0.35">
      <c r="A33" t="s">
        <v>10</v>
      </c>
      <c r="B33" t="s">
        <v>20</v>
      </c>
      <c r="C33" t="s">
        <v>41</v>
      </c>
      <c r="D33" t="s">
        <v>45</v>
      </c>
      <c r="E33" s="9">
        <v>1493</v>
      </c>
      <c r="F33">
        <v>120</v>
      </c>
      <c r="G33">
        <v>7</v>
      </c>
      <c r="H33" s="9">
        <v>10451</v>
      </c>
      <c r="I33" s="9">
        <v>0</v>
      </c>
      <c r="J33" s="9">
        <v>10451</v>
      </c>
      <c r="K33" s="9">
        <v>7465</v>
      </c>
      <c r="L33" s="9">
        <v>2986</v>
      </c>
      <c r="M33" s="10">
        <v>41640</v>
      </c>
      <c r="N33">
        <v>1</v>
      </c>
      <c r="O33" t="s">
        <v>21</v>
      </c>
      <c r="P33" t="s">
        <v>15</v>
      </c>
      <c r="Q33" s="15">
        <f>Table2[[#This Row],[Discounts]]/Table2[[#This Row],[Gross Sales]]</f>
        <v>0</v>
      </c>
    </row>
    <row r="34" spans="1:17" x14ac:dyDescent="0.35">
      <c r="A34" t="s">
        <v>9</v>
      </c>
      <c r="B34" t="s">
        <v>18</v>
      </c>
      <c r="C34" t="s">
        <v>41</v>
      </c>
      <c r="D34" t="s">
        <v>45</v>
      </c>
      <c r="E34" s="9">
        <v>1804</v>
      </c>
      <c r="F34">
        <v>120</v>
      </c>
      <c r="G34">
        <v>125</v>
      </c>
      <c r="H34" s="9">
        <v>225500</v>
      </c>
      <c r="I34" s="9">
        <v>0</v>
      </c>
      <c r="J34" s="9">
        <v>225500</v>
      </c>
      <c r="K34" s="9">
        <v>216480</v>
      </c>
      <c r="L34" s="9">
        <v>9020</v>
      </c>
      <c r="M34" s="10">
        <v>41671</v>
      </c>
      <c r="N34">
        <v>2</v>
      </c>
      <c r="O34" t="s">
        <v>22</v>
      </c>
      <c r="P34" t="s">
        <v>15</v>
      </c>
      <c r="Q34" s="15">
        <f>Table2[[#This Row],[Discounts]]/Table2[[#This Row],[Gross Sales]]</f>
        <v>0</v>
      </c>
    </row>
    <row r="35" spans="1:17" x14ac:dyDescent="0.35">
      <c r="A35" t="s">
        <v>11</v>
      </c>
      <c r="B35" t="s">
        <v>19</v>
      </c>
      <c r="C35" t="s">
        <v>41</v>
      </c>
      <c r="D35" t="s">
        <v>45</v>
      </c>
      <c r="E35" s="9">
        <v>2161</v>
      </c>
      <c r="F35">
        <v>120</v>
      </c>
      <c r="G35">
        <v>12</v>
      </c>
      <c r="H35" s="9">
        <v>25932</v>
      </c>
      <c r="I35" s="9">
        <v>0</v>
      </c>
      <c r="J35" s="9">
        <v>25932</v>
      </c>
      <c r="K35" s="9">
        <v>6483</v>
      </c>
      <c r="L35" s="9">
        <v>19449</v>
      </c>
      <c r="M35" s="10">
        <v>41699</v>
      </c>
      <c r="N35">
        <v>3</v>
      </c>
      <c r="O35" t="s">
        <v>23</v>
      </c>
      <c r="P35" t="s">
        <v>15</v>
      </c>
      <c r="Q35" s="15">
        <f>Table2[[#This Row],[Discounts]]/Table2[[#This Row],[Gross Sales]]</f>
        <v>0</v>
      </c>
    </row>
    <row r="36" spans="1:17" x14ac:dyDescent="0.35">
      <c r="A36" t="s">
        <v>10</v>
      </c>
      <c r="B36" t="s">
        <v>19</v>
      </c>
      <c r="C36" t="s">
        <v>41</v>
      </c>
      <c r="D36" t="s">
        <v>45</v>
      </c>
      <c r="E36" s="9">
        <v>1006</v>
      </c>
      <c r="F36">
        <v>120</v>
      </c>
      <c r="G36">
        <v>350</v>
      </c>
      <c r="H36" s="9">
        <v>352100</v>
      </c>
      <c r="I36" s="9">
        <v>0</v>
      </c>
      <c r="J36" s="9">
        <v>352100</v>
      </c>
      <c r="K36" s="9">
        <v>261560</v>
      </c>
      <c r="L36" s="9">
        <v>90540</v>
      </c>
      <c r="M36" s="10">
        <v>41791</v>
      </c>
      <c r="N36">
        <v>6</v>
      </c>
      <c r="O36" t="s">
        <v>26</v>
      </c>
      <c r="P36" t="s">
        <v>15</v>
      </c>
      <c r="Q36" s="15">
        <f>Table2[[#This Row],[Discounts]]/Table2[[#This Row],[Gross Sales]]</f>
        <v>0</v>
      </c>
    </row>
    <row r="37" spans="1:17" x14ac:dyDescent="0.35">
      <c r="A37" t="s">
        <v>11</v>
      </c>
      <c r="B37" t="s">
        <v>19</v>
      </c>
      <c r="C37" t="s">
        <v>41</v>
      </c>
      <c r="D37" t="s">
        <v>45</v>
      </c>
      <c r="E37" s="9">
        <v>1545</v>
      </c>
      <c r="F37">
        <v>120</v>
      </c>
      <c r="G37">
        <v>12</v>
      </c>
      <c r="H37" s="9">
        <v>18540</v>
      </c>
      <c r="I37" s="9">
        <v>0</v>
      </c>
      <c r="J37" s="9">
        <v>18540</v>
      </c>
      <c r="K37" s="9">
        <v>4635</v>
      </c>
      <c r="L37" s="9">
        <v>13905</v>
      </c>
      <c r="M37" s="10">
        <v>41791</v>
      </c>
      <c r="N37">
        <v>6</v>
      </c>
      <c r="O37" t="s">
        <v>26</v>
      </c>
      <c r="P37" t="s">
        <v>15</v>
      </c>
      <c r="Q37" s="15">
        <f>Table2[[#This Row],[Discounts]]/Table2[[#This Row],[Gross Sales]]</f>
        <v>0</v>
      </c>
    </row>
    <row r="38" spans="1:17" x14ac:dyDescent="0.35">
      <c r="A38" t="s">
        <v>9</v>
      </c>
      <c r="B38" t="s">
        <v>92</v>
      </c>
      <c r="C38" t="s">
        <v>41</v>
      </c>
      <c r="D38" t="s">
        <v>45</v>
      </c>
      <c r="E38" s="9">
        <v>2821</v>
      </c>
      <c r="F38">
        <v>120</v>
      </c>
      <c r="G38">
        <v>125</v>
      </c>
      <c r="H38" s="9">
        <v>352625</v>
      </c>
      <c r="I38" s="9">
        <v>0</v>
      </c>
      <c r="J38" s="9">
        <v>352625</v>
      </c>
      <c r="K38" s="9">
        <v>338520</v>
      </c>
      <c r="L38" s="9">
        <v>14105</v>
      </c>
      <c r="M38" s="10">
        <v>41852</v>
      </c>
      <c r="N38">
        <v>8</v>
      </c>
      <c r="O38" t="s">
        <v>28</v>
      </c>
      <c r="P38" t="s">
        <v>15</v>
      </c>
      <c r="Q38" s="15">
        <f>Table2[[#This Row],[Discounts]]/Table2[[#This Row],[Gross Sales]]</f>
        <v>0</v>
      </c>
    </row>
    <row r="39" spans="1:17" x14ac:dyDescent="0.35">
      <c r="A39" t="s">
        <v>9</v>
      </c>
      <c r="B39" t="s">
        <v>16</v>
      </c>
      <c r="C39" t="s">
        <v>41</v>
      </c>
      <c r="D39" t="s">
        <v>45</v>
      </c>
      <c r="E39" s="9">
        <v>345</v>
      </c>
      <c r="F39">
        <v>120</v>
      </c>
      <c r="G39">
        <v>125</v>
      </c>
      <c r="H39" s="9">
        <v>43125</v>
      </c>
      <c r="I39" s="9">
        <v>0</v>
      </c>
      <c r="J39" s="9">
        <v>43125</v>
      </c>
      <c r="K39" s="9">
        <v>41400</v>
      </c>
      <c r="L39" s="9">
        <v>1725</v>
      </c>
      <c r="M39" s="10">
        <v>41548</v>
      </c>
      <c r="N39">
        <v>10</v>
      </c>
      <c r="O39" t="s">
        <v>30</v>
      </c>
      <c r="P39" t="s">
        <v>14</v>
      </c>
      <c r="Q39" s="15">
        <f>Table2[[#This Row],[Discounts]]/Table2[[#This Row],[Gross Sales]]</f>
        <v>0</v>
      </c>
    </row>
    <row r="40" spans="1:17" x14ac:dyDescent="0.35">
      <c r="A40" t="s">
        <v>7</v>
      </c>
      <c r="B40" t="s">
        <v>16</v>
      </c>
      <c r="C40" t="s">
        <v>42</v>
      </c>
      <c r="D40" t="s">
        <v>45</v>
      </c>
      <c r="E40" s="9">
        <v>2001</v>
      </c>
      <c r="F40">
        <v>250</v>
      </c>
      <c r="G40">
        <v>300</v>
      </c>
      <c r="H40" s="9">
        <v>600300</v>
      </c>
      <c r="I40" s="9">
        <v>0</v>
      </c>
      <c r="J40" s="9">
        <v>600300</v>
      </c>
      <c r="K40" s="9">
        <v>500250</v>
      </c>
      <c r="L40" s="9">
        <v>100050</v>
      </c>
      <c r="M40" s="10">
        <v>41671</v>
      </c>
      <c r="N40">
        <v>2</v>
      </c>
      <c r="O40" t="s">
        <v>22</v>
      </c>
      <c r="P40" t="s">
        <v>15</v>
      </c>
      <c r="Q40" s="15">
        <f>Table2[[#This Row],[Discounts]]/Table2[[#This Row],[Gross Sales]]</f>
        <v>0</v>
      </c>
    </row>
    <row r="41" spans="1:17" x14ac:dyDescent="0.35">
      <c r="A41" t="s">
        <v>11</v>
      </c>
      <c r="B41" t="s">
        <v>19</v>
      </c>
      <c r="C41" t="s">
        <v>42</v>
      </c>
      <c r="D41" t="s">
        <v>45</v>
      </c>
      <c r="E41" s="9">
        <v>2838</v>
      </c>
      <c r="F41">
        <v>250</v>
      </c>
      <c r="G41">
        <v>12</v>
      </c>
      <c r="H41" s="9">
        <v>34056</v>
      </c>
      <c r="I41" s="9">
        <v>0</v>
      </c>
      <c r="J41" s="9">
        <v>34056</v>
      </c>
      <c r="K41" s="9">
        <v>8514</v>
      </c>
      <c r="L41" s="9">
        <v>25542</v>
      </c>
      <c r="M41" s="10">
        <v>41730</v>
      </c>
      <c r="N41">
        <v>4</v>
      </c>
      <c r="O41" t="s">
        <v>24</v>
      </c>
      <c r="P41" t="s">
        <v>15</v>
      </c>
      <c r="Q41" s="15">
        <f>Table2[[#This Row],[Discounts]]/Table2[[#This Row],[Gross Sales]]</f>
        <v>0</v>
      </c>
    </row>
    <row r="42" spans="1:17" x14ac:dyDescent="0.35">
      <c r="A42" t="s">
        <v>8</v>
      </c>
      <c r="B42" t="s">
        <v>18</v>
      </c>
      <c r="C42" t="s">
        <v>42</v>
      </c>
      <c r="D42" t="s">
        <v>45</v>
      </c>
      <c r="E42" s="9">
        <v>2178</v>
      </c>
      <c r="F42">
        <v>250</v>
      </c>
      <c r="G42">
        <v>15</v>
      </c>
      <c r="H42" s="9">
        <v>32670</v>
      </c>
      <c r="I42" s="9">
        <v>0</v>
      </c>
      <c r="J42" s="9">
        <v>32670</v>
      </c>
      <c r="K42" s="9">
        <v>21780</v>
      </c>
      <c r="L42" s="9">
        <v>10890</v>
      </c>
      <c r="M42" s="10">
        <v>41791</v>
      </c>
      <c r="N42">
        <v>6</v>
      </c>
      <c r="O42" t="s">
        <v>26</v>
      </c>
      <c r="P42" t="s">
        <v>15</v>
      </c>
      <c r="Q42" s="15">
        <f>Table2[[#This Row],[Discounts]]/Table2[[#This Row],[Gross Sales]]</f>
        <v>0</v>
      </c>
    </row>
    <row r="43" spans="1:17" x14ac:dyDescent="0.35">
      <c r="A43" t="s">
        <v>8</v>
      </c>
      <c r="B43" t="s">
        <v>19</v>
      </c>
      <c r="C43" t="s">
        <v>42</v>
      </c>
      <c r="D43" t="s">
        <v>45</v>
      </c>
      <c r="E43" s="9">
        <v>888</v>
      </c>
      <c r="F43">
        <v>250</v>
      </c>
      <c r="G43">
        <v>15</v>
      </c>
      <c r="H43" s="9">
        <v>13320</v>
      </c>
      <c r="I43" s="9">
        <v>0</v>
      </c>
      <c r="J43" s="9">
        <v>13320</v>
      </c>
      <c r="K43" s="9">
        <v>8880</v>
      </c>
      <c r="L43" s="9">
        <v>4440</v>
      </c>
      <c r="M43" s="10">
        <v>41791</v>
      </c>
      <c r="N43">
        <v>6</v>
      </c>
      <c r="O43" t="s">
        <v>26</v>
      </c>
      <c r="P43" t="s">
        <v>15</v>
      </c>
      <c r="Q43" s="15">
        <f>Table2[[#This Row],[Discounts]]/Table2[[#This Row],[Gross Sales]]</f>
        <v>0</v>
      </c>
    </row>
    <row r="44" spans="1:17" x14ac:dyDescent="0.35">
      <c r="A44" t="s">
        <v>10</v>
      </c>
      <c r="B44" t="s">
        <v>18</v>
      </c>
      <c r="C44" t="s">
        <v>42</v>
      </c>
      <c r="D44" t="s">
        <v>45</v>
      </c>
      <c r="E44" s="9">
        <v>1527</v>
      </c>
      <c r="F44">
        <v>250</v>
      </c>
      <c r="G44">
        <v>350</v>
      </c>
      <c r="H44" s="9">
        <v>534450</v>
      </c>
      <c r="I44" s="9">
        <v>0</v>
      </c>
      <c r="J44" s="9">
        <v>534450</v>
      </c>
      <c r="K44" s="9">
        <v>397020</v>
      </c>
      <c r="L44" s="9">
        <v>137430</v>
      </c>
      <c r="M44" s="10">
        <v>41518</v>
      </c>
      <c r="N44">
        <v>9</v>
      </c>
      <c r="O44" t="s">
        <v>29</v>
      </c>
      <c r="P44" t="s">
        <v>14</v>
      </c>
      <c r="Q44" s="15">
        <f>Table2[[#This Row],[Discounts]]/Table2[[#This Row],[Gross Sales]]</f>
        <v>0</v>
      </c>
    </row>
    <row r="45" spans="1:17" x14ac:dyDescent="0.35">
      <c r="A45" t="s">
        <v>7</v>
      </c>
      <c r="B45" t="s">
        <v>18</v>
      </c>
      <c r="C45" t="s">
        <v>42</v>
      </c>
      <c r="D45" t="s">
        <v>45</v>
      </c>
      <c r="E45" s="9">
        <v>2151</v>
      </c>
      <c r="F45">
        <v>250</v>
      </c>
      <c r="G45">
        <v>300</v>
      </c>
      <c r="H45" s="9">
        <v>645300</v>
      </c>
      <c r="I45" s="9">
        <v>0</v>
      </c>
      <c r="J45" s="9">
        <v>645300</v>
      </c>
      <c r="K45" s="9">
        <v>537750</v>
      </c>
      <c r="L45" s="9">
        <v>107550</v>
      </c>
      <c r="M45" s="10">
        <v>41883</v>
      </c>
      <c r="N45">
        <v>9</v>
      </c>
      <c r="O45" t="s">
        <v>29</v>
      </c>
      <c r="P45" t="s">
        <v>15</v>
      </c>
      <c r="Q45" s="15">
        <f>Table2[[#This Row],[Discounts]]/Table2[[#This Row],[Gross Sales]]</f>
        <v>0</v>
      </c>
    </row>
    <row r="46" spans="1:17" x14ac:dyDescent="0.35">
      <c r="A46" t="s">
        <v>10</v>
      </c>
      <c r="B46" t="s">
        <v>16</v>
      </c>
      <c r="C46" t="s">
        <v>42</v>
      </c>
      <c r="D46" t="s">
        <v>45</v>
      </c>
      <c r="E46" s="9">
        <v>1817</v>
      </c>
      <c r="F46">
        <v>250</v>
      </c>
      <c r="G46">
        <v>20</v>
      </c>
      <c r="H46" s="9">
        <v>36340</v>
      </c>
      <c r="I46" s="9">
        <v>0</v>
      </c>
      <c r="J46" s="9">
        <v>36340</v>
      </c>
      <c r="K46" s="9">
        <v>18170</v>
      </c>
      <c r="L46" s="9">
        <v>18170</v>
      </c>
      <c r="M46" s="10">
        <v>41974</v>
      </c>
      <c r="N46">
        <v>12</v>
      </c>
      <c r="O46" t="s">
        <v>32</v>
      </c>
      <c r="P46" t="s">
        <v>15</v>
      </c>
      <c r="Q46" s="15">
        <f>Table2[[#This Row],[Discounts]]/Table2[[#This Row],[Gross Sales]]</f>
        <v>0</v>
      </c>
    </row>
    <row r="47" spans="1:17" x14ac:dyDescent="0.35">
      <c r="A47" t="s">
        <v>10</v>
      </c>
      <c r="B47" t="s">
        <v>18</v>
      </c>
      <c r="C47" t="s">
        <v>43</v>
      </c>
      <c r="D47" t="s">
        <v>45</v>
      </c>
      <c r="E47" s="9">
        <v>2750</v>
      </c>
      <c r="F47">
        <v>260</v>
      </c>
      <c r="G47">
        <v>350</v>
      </c>
      <c r="H47" s="9">
        <v>962500</v>
      </c>
      <c r="I47" s="9">
        <v>0</v>
      </c>
      <c r="J47" s="9">
        <v>962500</v>
      </c>
      <c r="K47" s="9">
        <v>715000</v>
      </c>
      <c r="L47" s="9">
        <v>247500</v>
      </c>
      <c r="M47" s="10">
        <v>41671</v>
      </c>
      <c r="N47">
        <v>2</v>
      </c>
      <c r="O47" t="s">
        <v>22</v>
      </c>
      <c r="P47" t="s">
        <v>15</v>
      </c>
      <c r="Q47" s="15">
        <f>Table2[[#This Row],[Discounts]]/Table2[[#This Row],[Gross Sales]]</f>
        <v>0</v>
      </c>
    </row>
    <row r="48" spans="1:17" x14ac:dyDescent="0.35">
      <c r="A48" t="s">
        <v>11</v>
      </c>
      <c r="B48" t="s">
        <v>92</v>
      </c>
      <c r="C48" t="s">
        <v>43</v>
      </c>
      <c r="D48" t="s">
        <v>45</v>
      </c>
      <c r="E48" s="9">
        <v>1953</v>
      </c>
      <c r="F48">
        <v>260</v>
      </c>
      <c r="G48">
        <v>12</v>
      </c>
      <c r="H48" s="9">
        <v>23436</v>
      </c>
      <c r="I48" s="9">
        <v>0</v>
      </c>
      <c r="J48" s="9">
        <v>23436</v>
      </c>
      <c r="K48" s="9">
        <v>5859</v>
      </c>
      <c r="L48" s="9">
        <v>17577</v>
      </c>
      <c r="M48" s="10">
        <v>41730</v>
      </c>
      <c r="N48">
        <v>4</v>
      </c>
      <c r="O48" t="s">
        <v>24</v>
      </c>
      <c r="P48" t="s">
        <v>15</v>
      </c>
      <c r="Q48" s="15">
        <f>Table2[[#This Row],[Discounts]]/Table2[[#This Row],[Gross Sales]]</f>
        <v>0</v>
      </c>
    </row>
    <row r="49" spans="1:18" x14ac:dyDescent="0.35">
      <c r="A49" t="s">
        <v>11</v>
      </c>
      <c r="B49" t="s">
        <v>92</v>
      </c>
      <c r="C49" t="s">
        <v>43</v>
      </c>
      <c r="D49" t="s">
        <v>45</v>
      </c>
      <c r="E49" s="9">
        <v>1953</v>
      </c>
      <c r="F49">
        <v>260</v>
      </c>
      <c r="G49">
        <v>12</v>
      </c>
      <c r="H49" s="9">
        <v>23436</v>
      </c>
      <c r="I49" s="9">
        <v>0</v>
      </c>
      <c r="J49" s="9">
        <v>23436</v>
      </c>
      <c r="K49" s="9">
        <v>5859</v>
      </c>
      <c r="L49" s="9">
        <v>17577</v>
      </c>
      <c r="M49" s="10">
        <v>41730</v>
      </c>
      <c r="N49">
        <v>4</v>
      </c>
      <c r="O49" t="s">
        <v>24</v>
      </c>
      <c r="P49" t="s">
        <v>15</v>
      </c>
      <c r="Q49" s="15">
        <f>Table2[[#This Row],[Discounts]]/Table2[[#This Row],[Gross Sales]]</f>
        <v>0</v>
      </c>
    </row>
    <row r="50" spans="1:18" x14ac:dyDescent="0.35">
      <c r="A50" t="s">
        <v>9</v>
      </c>
      <c r="B50" t="s">
        <v>19</v>
      </c>
      <c r="C50" t="s">
        <v>43</v>
      </c>
      <c r="D50" t="s">
        <v>45</v>
      </c>
      <c r="E50" s="9">
        <v>4219.5</v>
      </c>
      <c r="F50">
        <v>260</v>
      </c>
      <c r="G50">
        <v>125</v>
      </c>
      <c r="H50" s="9">
        <v>527437.5</v>
      </c>
      <c r="I50" s="9">
        <v>0</v>
      </c>
      <c r="J50" s="9">
        <v>527437.5</v>
      </c>
      <c r="K50" s="9">
        <v>506340</v>
      </c>
      <c r="L50" s="9">
        <v>21097.5</v>
      </c>
      <c r="M50" s="10">
        <v>41730</v>
      </c>
      <c r="N50">
        <v>4</v>
      </c>
      <c r="O50" t="s">
        <v>24</v>
      </c>
      <c r="P50" t="s">
        <v>15</v>
      </c>
      <c r="Q50" s="15">
        <f>Table2[[#This Row],[Discounts]]/Table2[[#This Row],[Gross Sales]]</f>
        <v>0</v>
      </c>
    </row>
    <row r="51" spans="1:18" x14ac:dyDescent="0.35">
      <c r="A51" t="s">
        <v>10</v>
      </c>
      <c r="B51" t="s">
        <v>18</v>
      </c>
      <c r="C51" t="s">
        <v>43</v>
      </c>
      <c r="D51" t="s">
        <v>45</v>
      </c>
      <c r="E51" s="9">
        <v>1899</v>
      </c>
      <c r="F51">
        <v>260</v>
      </c>
      <c r="G51">
        <v>20</v>
      </c>
      <c r="H51" s="9">
        <v>37980</v>
      </c>
      <c r="I51" s="9">
        <v>0</v>
      </c>
      <c r="J51" s="9">
        <v>37980</v>
      </c>
      <c r="K51" s="9">
        <v>18990</v>
      </c>
      <c r="L51" s="9">
        <v>18990</v>
      </c>
      <c r="M51" s="10">
        <v>41791</v>
      </c>
      <c r="N51">
        <v>6</v>
      </c>
      <c r="O51" t="s">
        <v>26</v>
      </c>
      <c r="P51" t="s">
        <v>15</v>
      </c>
      <c r="Q51" s="15">
        <f>Table2[[#This Row],[Discounts]]/Table2[[#This Row],[Gross Sales]]</f>
        <v>0</v>
      </c>
    </row>
    <row r="52" spans="1:18" x14ac:dyDescent="0.35">
      <c r="A52" t="s">
        <v>10</v>
      </c>
      <c r="B52" t="s">
        <v>19</v>
      </c>
      <c r="C52" t="s">
        <v>43</v>
      </c>
      <c r="D52" t="s">
        <v>45</v>
      </c>
      <c r="E52" s="9">
        <v>1686</v>
      </c>
      <c r="F52">
        <v>260</v>
      </c>
      <c r="G52">
        <v>7</v>
      </c>
      <c r="H52" s="9">
        <v>11802</v>
      </c>
      <c r="I52" s="9">
        <v>0</v>
      </c>
      <c r="J52" s="9">
        <v>11802</v>
      </c>
      <c r="K52" s="9">
        <v>8430</v>
      </c>
      <c r="L52" s="9">
        <v>3372</v>
      </c>
      <c r="M52" s="10">
        <v>41821</v>
      </c>
      <c r="N52">
        <v>7</v>
      </c>
      <c r="O52" t="s">
        <v>27</v>
      </c>
      <c r="P52" t="s">
        <v>15</v>
      </c>
      <c r="Q52" s="15">
        <f>Table2[[#This Row],[Discounts]]/Table2[[#This Row],[Gross Sales]]</f>
        <v>0</v>
      </c>
    </row>
    <row r="53" spans="1:18" x14ac:dyDescent="0.35">
      <c r="A53" t="s">
        <v>11</v>
      </c>
      <c r="B53" t="s">
        <v>92</v>
      </c>
      <c r="C53" t="s">
        <v>43</v>
      </c>
      <c r="D53" t="s">
        <v>45</v>
      </c>
      <c r="E53" s="9">
        <v>2141</v>
      </c>
      <c r="F53">
        <v>260</v>
      </c>
      <c r="G53">
        <v>12</v>
      </c>
      <c r="H53" s="9">
        <v>25692</v>
      </c>
      <c r="I53" s="9">
        <v>0</v>
      </c>
      <c r="J53" s="9">
        <v>25692</v>
      </c>
      <c r="K53" s="9">
        <v>6423</v>
      </c>
      <c r="L53" s="9">
        <v>19269</v>
      </c>
      <c r="M53" s="10">
        <v>41852</v>
      </c>
      <c r="N53">
        <v>8</v>
      </c>
      <c r="O53" t="s">
        <v>28</v>
      </c>
      <c r="P53" t="s">
        <v>15</v>
      </c>
      <c r="Q53" s="15">
        <f>Table2[[#This Row],[Discounts]]/Table2[[#This Row],[Gross Sales]]</f>
        <v>0</v>
      </c>
    </row>
    <row r="54" spans="1:18" x14ac:dyDescent="0.35">
      <c r="A54" t="s">
        <v>10</v>
      </c>
      <c r="B54" t="s">
        <v>92</v>
      </c>
      <c r="C54" t="s">
        <v>43</v>
      </c>
      <c r="D54" t="s">
        <v>45</v>
      </c>
      <c r="E54" s="9">
        <v>1143</v>
      </c>
      <c r="F54">
        <v>260</v>
      </c>
      <c r="G54">
        <v>7</v>
      </c>
      <c r="H54" s="9">
        <v>8001</v>
      </c>
      <c r="I54" s="9">
        <v>0</v>
      </c>
      <c r="J54" s="9">
        <v>8001</v>
      </c>
      <c r="K54" s="9">
        <v>5715</v>
      </c>
      <c r="L54" s="9">
        <v>2286</v>
      </c>
      <c r="M54" s="10">
        <v>41913</v>
      </c>
      <c r="N54">
        <v>10</v>
      </c>
      <c r="O54" t="s">
        <v>30</v>
      </c>
      <c r="P54" t="s">
        <v>15</v>
      </c>
      <c r="Q54" s="15">
        <f>Table2[[#This Row],[Discounts]]/Table2[[#This Row],[Gross Sales]]</f>
        <v>0</v>
      </c>
    </row>
    <row r="55" spans="1:18" x14ac:dyDescent="0.35">
      <c r="A55" t="s">
        <v>8</v>
      </c>
      <c r="B55" t="s">
        <v>92</v>
      </c>
      <c r="C55" t="s">
        <v>43</v>
      </c>
      <c r="D55" t="s">
        <v>45</v>
      </c>
      <c r="E55" s="9">
        <v>615</v>
      </c>
      <c r="F55">
        <v>260</v>
      </c>
      <c r="G55">
        <v>15</v>
      </c>
      <c r="H55" s="9">
        <v>9225</v>
      </c>
      <c r="I55" s="9">
        <v>0</v>
      </c>
      <c r="J55" s="9">
        <v>9225</v>
      </c>
      <c r="K55" s="9">
        <v>6150</v>
      </c>
      <c r="L55" s="9">
        <v>3075</v>
      </c>
      <c r="M55" s="10">
        <v>41974</v>
      </c>
      <c r="N55">
        <v>12</v>
      </c>
      <c r="O55" t="s">
        <v>32</v>
      </c>
      <c r="P55" t="s">
        <v>15</v>
      </c>
      <c r="Q55" s="15">
        <f>Table2[[#This Row],[Discounts]]/Table2[[#This Row],[Gross Sales]]</f>
        <v>0</v>
      </c>
    </row>
    <row r="56" spans="1:18" x14ac:dyDescent="0.35">
      <c r="A56" t="s">
        <v>8</v>
      </c>
      <c r="B56" t="s">
        <v>92</v>
      </c>
      <c r="C56" t="s">
        <v>43</v>
      </c>
      <c r="D56" t="s">
        <v>45</v>
      </c>
      <c r="E56" s="9">
        <v>615</v>
      </c>
      <c r="F56">
        <v>260</v>
      </c>
      <c r="G56">
        <v>15</v>
      </c>
      <c r="H56" s="9">
        <v>9225</v>
      </c>
      <c r="I56" s="9">
        <v>0</v>
      </c>
      <c r="J56" s="9">
        <v>9225</v>
      </c>
      <c r="K56" s="9">
        <v>6150</v>
      </c>
      <c r="L56" s="9">
        <v>3075</v>
      </c>
      <c r="M56" s="10">
        <v>41974</v>
      </c>
      <c r="N56">
        <v>12</v>
      </c>
      <c r="O56" t="s">
        <v>32</v>
      </c>
      <c r="P56" t="s">
        <v>15</v>
      </c>
      <c r="Q56" s="15">
        <f>Table2[[#This Row],[Discounts]]/Table2[[#This Row],[Gross Sales]]</f>
        <v>0</v>
      </c>
    </row>
    <row r="57" spans="1:18" x14ac:dyDescent="0.35">
      <c r="A57" t="s">
        <v>10</v>
      </c>
      <c r="B57" t="s">
        <v>18</v>
      </c>
      <c r="C57" t="s">
        <v>40</v>
      </c>
      <c r="D57" t="s">
        <v>46</v>
      </c>
      <c r="E57" s="9">
        <v>3945</v>
      </c>
      <c r="F57">
        <v>10</v>
      </c>
      <c r="G57">
        <v>7</v>
      </c>
      <c r="H57" s="9">
        <v>27615</v>
      </c>
      <c r="I57" s="9">
        <v>276.14999999999998</v>
      </c>
      <c r="J57" s="9">
        <v>27338.850000000002</v>
      </c>
      <c r="K57" s="9">
        <v>19725</v>
      </c>
      <c r="L57" s="9">
        <v>7613.8500000000022</v>
      </c>
      <c r="M57" s="10">
        <v>41640</v>
      </c>
      <c r="N57">
        <v>1</v>
      </c>
      <c r="O57" t="s">
        <v>21</v>
      </c>
      <c r="P57" t="s">
        <v>15</v>
      </c>
      <c r="Q57" s="15">
        <f>Table2[[#This Row],[Discounts]]/Table2[[#This Row],[Gross Sales]]</f>
        <v>9.9999999999999985E-3</v>
      </c>
      <c r="R57" s="13"/>
    </row>
    <row r="58" spans="1:18" x14ac:dyDescent="0.35">
      <c r="A58" t="s">
        <v>8</v>
      </c>
      <c r="B58" t="s">
        <v>18</v>
      </c>
      <c r="C58" t="s">
        <v>40</v>
      </c>
      <c r="D58" t="s">
        <v>46</v>
      </c>
      <c r="E58" s="9">
        <v>2296</v>
      </c>
      <c r="F58">
        <v>10</v>
      </c>
      <c r="G58">
        <v>15</v>
      </c>
      <c r="H58" s="9">
        <v>34440</v>
      </c>
      <c r="I58" s="9">
        <v>344.4</v>
      </c>
      <c r="J58" s="9">
        <v>34095.599999999999</v>
      </c>
      <c r="K58" s="9">
        <v>22960</v>
      </c>
      <c r="L58" s="9">
        <v>11135.599999999999</v>
      </c>
      <c r="M58" s="10">
        <v>41671</v>
      </c>
      <c r="N58">
        <v>2</v>
      </c>
      <c r="O58" t="s">
        <v>22</v>
      </c>
      <c r="P58" t="s">
        <v>15</v>
      </c>
      <c r="Q58" s="15">
        <f>Table2[[#This Row],[Discounts]]/Table2[[#This Row],[Gross Sales]]</f>
        <v>9.9999999999999985E-3</v>
      </c>
    </row>
    <row r="59" spans="1:18" x14ac:dyDescent="0.35">
      <c r="A59" t="s">
        <v>10</v>
      </c>
      <c r="B59" t="s">
        <v>18</v>
      </c>
      <c r="C59" t="s">
        <v>40</v>
      </c>
      <c r="D59" t="s">
        <v>46</v>
      </c>
      <c r="E59" s="9">
        <v>1030</v>
      </c>
      <c r="F59">
        <v>10</v>
      </c>
      <c r="G59">
        <v>7</v>
      </c>
      <c r="H59" s="9">
        <v>7210</v>
      </c>
      <c r="I59" s="9">
        <v>72.099999999999994</v>
      </c>
      <c r="J59" s="9">
        <v>7137.9</v>
      </c>
      <c r="K59" s="9">
        <v>5150</v>
      </c>
      <c r="L59" s="9">
        <v>1987.8999999999996</v>
      </c>
      <c r="M59" s="10">
        <v>41760</v>
      </c>
      <c r="N59">
        <v>5</v>
      </c>
      <c r="O59" t="s">
        <v>25</v>
      </c>
      <c r="P59" t="s">
        <v>15</v>
      </c>
      <c r="Q59" s="15">
        <f>Table2[[#This Row],[Discounts]]/Table2[[#This Row],[Gross Sales]]</f>
        <v>9.9999999999999985E-3</v>
      </c>
    </row>
    <row r="60" spans="1:18" x14ac:dyDescent="0.35">
      <c r="A60" t="s">
        <v>10</v>
      </c>
      <c r="B60" t="s">
        <v>18</v>
      </c>
      <c r="C60" t="s">
        <v>41</v>
      </c>
      <c r="D60" t="s">
        <v>46</v>
      </c>
      <c r="E60" s="9">
        <v>639</v>
      </c>
      <c r="F60">
        <v>120</v>
      </c>
      <c r="G60">
        <v>7</v>
      </c>
      <c r="H60" s="9">
        <v>4473</v>
      </c>
      <c r="I60" s="9">
        <v>44.73</v>
      </c>
      <c r="J60" s="9">
        <v>4428.2700000000004</v>
      </c>
      <c r="K60" s="9">
        <v>3195</v>
      </c>
      <c r="L60" s="9">
        <v>1233.2700000000004</v>
      </c>
      <c r="M60" s="10">
        <v>41944</v>
      </c>
      <c r="N60">
        <v>11</v>
      </c>
      <c r="O60" t="s">
        <v>31</v>
      </c>
      <c r="P60" t="s">
        <v>15</v>
      </c>
      <c r="Q60" s="15">
        <f>Table2[[#This Row],[Discounts]]/Table2[[#This Row],[Gross Sales]]</f>
        <v>9.9999999999999985E-3</v>
      </c>
    </row>
    <row r="61" spans="1:18" x14ac:dyDescent="0.35">
      <c r="A61" t="s">
        <v>10</v>
      </c>
      <c r="B61" t="s">
        <v>16</v>
      </c>
      <c r="C61" t="s">
        <v>42</v>
      </c>
      <c r="D61" t="s">
        <v>46</v>
      </c>
      <c r="E61" s="9">
        <v>1326</v>
      </c>
      <c r="F61">
        <v>250</v>
      </c>
      <c r="G61">
        <v>7</v>
      </c>
      <c r="H61" s="9">
        <v>9282</v>
      </c>
      <c r="I61" s="9">
        <v>92.82</v>
      </c>
      <c r="J61" s="9">
        <v>9189.18</v>
      </c>
      <c r="K61" s="9">
        <v>6630</v>
      </c>
      <c r="L61" s="9">
        <v>2559.1800000000003</v>
      </c>
      <c r="M61" s="10">
        <v>41699</v>
      </c>
      <c r="N61">
        <v>3</v>
      </c>
      <c r="O61" t="s">
        <v>23</v>
      </c>
      <c r="P61" t="s">
        <v>15</v>
      </c>
      <c r="Q61" s="15">
        <f>Table2[[#This Row],[Discounts]]/Table2[[#This Row],[Gross Sales]]</f>
        <v>9.9999999999999985E-3</v>
      </c>
    </row>
    <row r="62" spans="1:18" x14ac:dyDescent="0.35">
      <c r="A62" t="s">
        <v>11</v>
      </c>
      <c r="B62" t="s">
        <v>92</v>
      </c>
      <c r="C62" t="s">
        <v>38</v>
      </c>
      <c r="D62" t="s">
        <v>46</v>
      </c>
      <c r="E62" s="9">
        <v>1858</v>
      </c>
      <c r="F62">
        <v>3</v>
      </c>
      <c r="G62">
        <v>12</v>
      </c>
      <c r="H62" s="9">
        <v>22296</v>
      </c>
      <c r="I62" s="9">
        <v>222.96</v>
      </c>
      <c r="J62" s="9">
        <v>22073.040000000001</v>
      </c>
      <c r="K62" s="9">
        <v>5574</v>
      </c>
      <c r="L62" s="9">
        <v>16499.04</v>
      </c>
      <c r="M62" s="10">
        <v>41671</v>
      </c>
      <c r="N62">
        <v>2</v>
      </c>
      <c r="O62" t="s">
        <v>22</v>
      </c>
      <c r="P62" t="s">
        <v>15</v>
      </c>
      <c r="Q62" s="15">
        <f>Table2[[#This Row],[Discounts]]/Table2[[#This Row],[Gross Sales]]</f>
        <v>0.01</v>
      </c>
    </row>
    <row r="63" spans="1:18" x14ac:dyDescent="0.35">
      <c r="A63" t="s">
        <v>10</v>
      </c>
      <c r="B63" t="s">
        <v>20</v>
      </c>
      <c r="C63" t="s">
        <v>38</v>
      </c>
      <c r="D63" t="s">
        <v>46</v>
      </c>
      <c r="E63" s="9">
        <v>1210</v>
      </c>
      <c r="F63">
        <v>3</v>
      </c>
      <c r="G63">
        <v>350</v>
      </c>
      <c r="H63" s="9">
        <v>423500</v>
      </c>
      <c r="I63" s="9">
        <v>4235</v>
      </c>
      <c r="J63" s="9">
        <v>419265</v>
      </c>
      <c r="K63" s="9">
        <v>314600</v>
      </c>
      <c r="L63" s="9">
        <v>104665</v>
      </c>
      <c r="M63" s="10">
        <v>41699</v>
      </c>
      <c r="N63">
        <v>3</v>
      </c>
      <c r="O63" t="s">
        <v>23</v>
      </c>
      <c r="P63" t="s">
        <v>15</v>
      </c>
      <c r="Q63" s="15">
        <f>Table2[[#This Row],[Discounts]]/Table2[[#This Row],[Gross Sales]]</f>
        <v>0.01</v>
      </c>
    </row>
    <row r="64" spans="1:18" x14ac:dyDescent="0.35">
      <c r="A64" t="s">
        <v>10</v>
      </c>
      <c r="B64" t="s">
        <v>20</v>
      </c>
      <c r="C64" t="s">
        <v>38</v>
      </c>
      <c r="D64" t="s">
        <v>46</v>
      </c>
      <c r="E64" s="9">
        <v>1210</v>
      </c>
      <c r="F64">
        <v>3</v>
      </c>
      <c r="G64">
        <v>350</v>
      </c>
      <c r="H64" s="9">
        <v>423500</v>
      </c>
      <c r="I64" s="9">
        <v>4235</v>
      </c>
      <c r="J64" s="9">
        <v>419265</v>
      </c>
      <c r="K64" s="9">
        <v>314600</v>
      </c>
      <c r="L64" s="9">
        <v>104665</v>
      </c>
      <c r="M64" s="10">
        <v>41699</v>
      </c>
      <c r="N64">
        <v>3</v>
      </c>
      <c r="O64" t="s">
        <v>23</v>
      </c>
      <c r="P64" t="s">
        <v>15</v>
      </c>
      <c r="Q64" s="15">
        <f>Table2[[#This Row],[Discounts]]/Table2[[#This Row],[Gross Sales]]</f>
        <v>0.01</v>
      </c>
    </row>
    <row r="65" spans="1:17" x14ac:dyDescent="0.35">
      <c r="A65" t="s">
        <v>10</v>
      </c>
      <c r="B65" t="s">
        <v>92</v>
      </c>
      <c r="C65" t="s">
        <v>38</v>
      </c>
      <c r="D65" t="s">
        <v>46</v>
      </c>
      <c r="E65" s="9">
        <v>2529</v>
      </c>
      <c r="F65">
        <v>3</v>
      </c>
      <c r="G65">
        <v>7</v>
      </c>
      <c r="H65" s="9">
        <v>17703</v>
      </c>
      <c r="I65" s="9">
        <v>177.03</v>
      </c>
      <c r="J65" s="9">
        <v>17525.97</v>
      </c>
      <c r="K65" s="9">
        <v>12645</v>
      </c>
      <c r="L65" s="9">
        <v>4880.9699999999993</v>
      </c>
      <c r="M65" s="10">
        <v>41821</v>
      </c>
      <c r="N65">
        <v>7</v>
      </c>
      <c r="O65" t="s">
        <v>27</v>
      </c>
      <c r="P65" t="s">
        <v>15</v>
      </c>
      <c r="Q65" s="15">
        <f>Table2[[#This Row],[Discounts]]/Table2[[#This Row],[Gross Sales]]</f>
        <v>0.01</v>
      </c>
    </row>
    <row r="66" spans="1:17" x14ac:dyDescent="0.35">
      <c r="A66" t="s">
        <v>11</v>
      </c>
      <c r="B66" t="s">
        <v>16</v>
      </c>
      <c r="C66" t="s">
        <v>38</v>
      </c>
      <c r="D66" t="s">
        <v>46</v>
      </c>
      <c r="E66" s="9">
        <v>1445</v>
      </c>
      <c r="F66">
        <v>3</v>
      </c>
      <c r="G66">
        <v>12</v>
      </c>
      <c r="H66" s="9">
        <v>17340</v>
      </c>
      <c r="I66" s="9">
        <v>173.4</v>
      </c>
      <c r="J66" s="9">
        <v>17166.599999999999</v>
      </c>
      <c r="K66" s="9">
        <v>4335</v>
      </c>
      <c r="L66" s="9">
        <v>12831.599999999999</v>
      </c>
      <c r="M66" s="10">
        <v>41883</v>
      </c>
      <c r="N66">
        <v>9</v>
      </c>
      <c r="O66" t="s">
        <v>29</v>
      </c>
      <c r="P66" t="s">
        <v>15</v>
      </c>
      <c r="Q66" s="15">
        <f>Table2[[#This Row],[Discounts]]/Table2[[#This Row],[Gross Sales]]</f>
        <v>0.01</v>
      </c>
    </row>
    <row r="67" spans="1:17" x14ac:dyDescent="0.35">
      <c r="A67" t="s">
        <v>9</v>
      </c>
      <c r="B67" t="s">
        <v>92</v>
      </c>
      <c r="C67" t="s">
        <v>38</v>
      </c>
      <c r="D67" t="s">
        <v>46</v>
      </c>
      <c r="E67" s="9">
        <v>330</v>
      </c>
      <c r="F67">
        <v>3</v>
      </c>
      <c r="G67">
        <v>125</v>
      </c>
      <c r="H67" s="9">
        <v>41250</v>
      </c>
      <c r="I67" s="9">
        <v>412.5</v>
      </c>
      <c r="J67" s="9">
        <v>40837.5</v>
      </c>
      <c r="K67" s="9">
        <v>39600</v>
      </c>
      <c r="L67" s="9">
        <v>1237.5</v>
      </c>
      <c r="M67" s="10">
        <v>41518</v>
      </c>
      <c r="N67">
        <v>9</v>
      </c>
      <c r="O67" t="s">
        <v>29</v>
      </c>
      <c r="P67" t="s">
        <v>14</v>
      </c>
      <c r="Q67" s="15">
        <f>Table2[[#This Row],[Discounts]]/Table2[[#This Row],[Gross Sales]]</f>
        <v>0.01</v>
      </c>
    </row>
    <row r="68" spans="1:17" x14ac:dyDescent="0.35">
      <c r="A68" t="s">
        <v>11</v>
      </c>
      <c r="B68" t="s">
        <v>18</v>
      </c>
      <c r="C68" t="s">
        <v>38</v>
      </c>
      <c r="D68" t="s">
        <v>46</v>
      </c>
      <c r="E68" s="9">
        <v>2671</v>
      </c>
      <c r="F68">
        <v>3</v>
      </c>
      <c r="G68">
        <v>12</v>
      </c>
      <c r="H68" s="9">
        <v>32052</v>
      </c>
      <c r="I68" s="9">
        <v>320.52</v>
      </c>
      <c r="J68" s="9">
        <v>31731.48</v>
      </c>
      <c r="K68" s="9">
        <v>8013</v>
      </c>
      <c r="L68" s="9">
        <v>23718.48</v>
      </c>
      <c r="M68" s="10">
        <v>41883</v>
      </c>
      <c r="N68">
        <v>9</v>
      </c>
      <c r="O68" t="s">
        <v>29</v>
      </c>
      <c r="P68" t="s">
        <v>15</v>
      </c>
      <c r="Q68" s="15">
        <f>Table2[[#This Row],[Discounts]]/Table2[[#This Row],[Gross Sales]]</f>
        <v>0.01</v>
      </c>
    </row>
    <row r="69" spans="1:17" x14ac:dyDescent="0.35">
      <c r="A69" t="s">
        <v>11</v>
      </c>
      <c r="B69" t="s">
        <v>19</v>
      </c>
      <c r="C69" t="s">
        <v>38</v>
      </c>
      <c r="D69" t="s">
        <v>46</v>
      </c>
      <c r="E69" s="9">
        <v>766</v>
      </c>
      <c r="F69">
        <v>3</v>
      </c>
      <c r="G69">
        <v>12</v>
      </c>
      <c r="H69" s="9">
        <v>9192</v>
      </c>
      <c r="I69" s="9">
        <v>91.92</v>
      </c>
      <c r="J69" s="9">
        <v>9100.08</v>
      </c>
      <c r="K69" s="9">
        <v>2298</v>
      </c>
      <c r="L69" s="9">
        <v>6802.08</v>
      </c>
      <c r="M69" s="10">
        <v>41548</v>
      </c>
      <c r="N69">
        <v>10</v>
      </c>
      <c r="O69" t="s">
        <v>30</v>
      </c>
      <c r="P69" t="s">
        <v>14</v>
      </c>
      <c r="Q69" s="15">
        <f>Table2[[#This Row],[Discounts]]/Table2[[#This Row],[Gross Sales]]</f>
        <v>0.01</v>
      </c>
    </row>
    <row r="70" spans="1:17" x14ac:dyDescent="0.35">
      <c r="A70" t="s">
        <v>7</v>
      </c>
      <c r="B70" t="s">
        <v>20</v>
      </c>
      <c r="C70" t="s">
        <v>38</v>
      </c>
      <c r="D70" t="s">
        <v>46</v>
      </c>
      <c r="E70" s="9">
        <v>494</v>
      </c>
      <c r="F70">
        <v>3</v>
      </c>
      <c r="G70">
        <v>300</v>
      </c>
      <c r="H70" s="9">
        <v>148200</v>
      </c>
      <c r="I70" s="9">
        <v>1482</v>
      </c>
      <c r="J70" s="9">
        <v>146718</v>
      </c>
      <c r="K70" s="9">
        <v>123500</v>
      </c>
      <c r="L70" s="9">
        <v>23218</v>
      </c>
      <c r="M70" s="10">
        <v>41548</v>
      </c>
      <c r="N70">
        <v>10</v>
      </c>
      <c r="O70" t="s">
        <v>30</v>
      </c>
      <c r="P70" t="s">
        <v>14</v>
      </c>
      <c r="Q70" s="15">
        <f>Table2[[#This Row],[Discounts]]/Table2[[#This Row],[Gross Sales]]</f>
        <v>0.01</v>
      </c>
    </row>
    <row r="71" spans="1:17" x14ac:dyDescent="0.35">
      <c r="A71" t="s">
        <v>10</v>
      </c>
      <c r="B71" t="s">
        <v>20</v>
      </c>
      <c r="C71" t="s">
        <v>38</v>
      </c>
      <c r="D71" t="s">
        <v>46</v>
      </c>
      <c r="E71" s="9">
        <v>1397</v>
      </c>
      <c r="F71">
        <v>3</v>
      </c>
      <c r="G71">
        <v>350</v>
      </c>
      <c r="H71" s="9">
        <v>488950</v>
      </c>
      <c r="I71" s="9">
        <v>4889.5</v>
      </c>
      <c r="J71" s="9">
        <v>484060.5</v>
      </c>
      <c r="K71" s="9">
        <v>363220</v>
      </c>
      <c r="L71" s="9">
        <v>120840.5</v>
      </c>
      <c r="M71" s="10">
        <v>41913</v>
      </c>
      <c r="N71">
        <v>10</v>
      </c>
      <c r="O71" t="s">
        <v>30</v>
      </c>
      <c r="P71" t="s">
        <v>15</v>
      </c>
      <c r="Q71" s="15">
        <f>Table2[[#This Row],[Discounts]]/Table2[[#This Row],[Gross Sales]]</f>
        <v>0.01</v>
      </c>
    </row>
    <row r="72" spans="1:17" x14ac:dyDescent="0.35">
      <c r="A72" t="s">
        <v>10</v>
      </c>
      <c r="B72" t="s">
        <v>18</v>
      </c>
      <c r="C72" t="s">
        <v>38</v>
      </c>
      <c r="D72" t="s">
        <v>46</v>
      </c>
      <c r="E72" s="9">
        <v>2155</v>
      </c>
      <c r="F72">
        <v>3</v>
      </c>
      <c r="G72">
        <v>350</v>
      </c>
      <c r="H72" s="9">
        <v>754250</v>
      </c>
      <c r="I72" s="9">
        <v>7542.5</v>
      </c>
      <c r="J72" s="9">
        <v>746707.5</v>
      </c>
      <c r="K72" s="9">
        <v>560300</v>
      </c>
      <c r="L72" s="9">
        <v>186407.5</v>
      </c>
      <c r="M72" s="10">
        <v>41974</v>
      </c>
      <c r="N72">
        <v>12</v>
      </c>
      <c r="O72" t="s">
        <v>32</v>
      </c>
      <c r="P72" t="s">
        <v>15</v>
      </c>
      <c r="Q72" s="15">
        <f>Table2[[#This Row],[Discounts]]/Table2[[#This Row],[Gross Sales]]</f>
        <v>0.01</v>
      </c>
    </row>
    <row r="73" spans="1:17" x14ac:dyDescent="0.35">
      <c r="A73" t="s">
        <v>8</v>
      </c>
      <c r="B73" t="s">
        <v>20</v>
      </c>
      <c r="C73" t="s">
        <v>39</v>
      </c>
      <c r="D73" t="s">
        <v>46</v>
      </c>
      <c r="E73" s="9">
        <v>2214</v>
      </c>
      <c r="F73">
        <v>5</v>
      </c>
      <c r="G73">
        <v>15</v>
      </c>
      <c r="H73" s="9">
        <v>33210</v>
      </c>
      <c r="I73" s="9">
        <v>332.1</v>
      </c>
      <c r="J73" s="9">
        <v>32877.9</v>
      </c>
      <c r="K73" s="9">
        <v>22140</v>
      </c>
      <c r="L73" s="9">
        <v>10737.900000000001</v>
      </c>
      <c r="M73" s="10">
        <v>41699</v>
      </c>
      <c r="N73">
        <v>3</v>
      </c>
      <c r="O73" t="s">
        <v>23</v>
      </c>
      <c r="P73" t="s">
        <v>15</v>
      </c>
      <c r="Q73" s="15">
        <f>Table2[[#This Row],[Discounts]]/Table2[[#This Row],[Gross Sales]]</f>
        <v>0.01</v>
      </c>
    </row>
    <row r="74" spans="1:17" x14ac:dyDescent="0.35">
      <c r="A74" t="s">
        <v>7</v>
      </c>
      <c r="B74" t="s">
        <v>92</v>
      </c>
      <c r="C74" t="s">
        <v>39</v>
      </c>
      <c r="D74" t="s">
        <v>46</v>
      </c>
      <c r="E74" s="9">
        <v>2301</v>
      </c>
      <c r="F74">
        <v>5</v>
      </c>
      <c r="G74">
        <v>300</v>
      </c>
      <c r="H74" s="9">
        <v>690300</v>
      </c>
      <c r="I74" s="9">
        <v>6903</v>
      </c>
      <c r="J74" s="9">
        <v>683397</v>
      </c>
      <c r="K74" s="9">
        <v>575250</v>
      </c>
      <c r="L74" s="9">
        <v>108147</v>
      </c>
      <c r="M74" s="10">
        <v>41730</v>
      </c>
      <c r="N74">
        <v>4</v>
      </c>
      <c r="O74" t="s">
        <v>24</v>
      </c>
      <c r="P74" t="s">
        <v>15</v>
      </c>
      <c r="Q74" s="15">
        <f>Table2[[#This Row],[Discounts]]/Table2[[#This Row],[Gross Sales]]</f>
        <v>0.01</v>
      </c>
    </row>
    <row r="75" spans="1:17" x14ac:dyDescent="0.35">
      <c r="A75" t="s">
        <v>10</v>
      </c>
      <c r="B75" t="s">
        <v>18</v>
      </c>
      <c r="C75" t="s">
        <v>39</v>
      </c>
      <c r="D75" t="s">
        <v>46</v>
      </c>
      <c r="E75" s="9">
        <v>1375.5</v>
      </c>
      <c r="F75">
        <v>5</v>
      </c>
      <c r="G75">
        <v>20</v>
      </c>
      <c r="H75" s="9">
        <v>27510</v>
      </c>
      <c r="I75" s="9">
        <v>275.10000000000002</v>
      </c>
      <c r="J75" s="9">
        <v>27234.899999999998</v>
      </c>
      <c r="K75" s="9">
        <v>13755</v>
      </c>
      <c r="L75" s="9">
        <v>13479.899999999998</v>
      </c>
      <c r="M75" s="10">
        <v>41821</v>
      </c>
      <c r="N75">
        <v>7</v>
      </c>
      <c r="O75" t="s">
        <v>27</v>
      </c>
      <c r="P75" t="s">
        <v>15</v>
      </c>
      <c r="Q75" s="15">
        <f>Table2[[#This Row],[Discounts]]/Table2[[#This Row],[Gross Sales]]</f>
        <v>0.01</v>
      </c>
    </row>
    <row r="76" spans="1:17" x14ac:dyDescent="0.35">
      <c r="A76" t="s">
        <v>10</v>
      </c>
      <c r="B76" t="s">
        <v>16</v>
      </c>
      <c r="C76" t="s">
        <v>39</v>
      </c>
      <c r="D76" t="s">
        <v>46</v>
      </c>
      <c r="E76" s="9">
        <v>1830</v>
      </c>
      <c r="F76">
        <v>5</v>
      </c>
      <c r="G76">
        <v>7</v>
      </c>
      <c r="H76" s="9">
        <v>12810</v>
      </c>
      <c r="I76" s="9">
        <v>128.1</v>
      </c>
      <c r="J76" s="9">
        <v>12681.9</v>
      </c>
      <c r="K76" s="9">
        <v>9150</v>
      </c>
      <c r="L76" s="9">
        <v>3531.8999999999996</v>
      </c>
      <c r="M76" s="10">
        <v>41852</v>
      </c>
      <c r="N76">
        <v>8</v>
      </c>
      <c r="O76" t="s">
        <v>28</v>
      </c>
      <c r="P76" t="s">
        <v>15</v>
      </c>
      <c r="Q76" s="15">
        <f>Table2[[#This Row],[Discounts]]/Table2[[#This Row],[Gross Sales]]</f>
        <v>0.01</v>
      </c>
    </row>
    <row r="77" spans="1:17" x14ac:dyDescent="0.35">
      <c r="A77" t="s">
        <v>7</v>
      </c>
      <c r="B77" t="s">
        <v>92</v>
      </c>
      <c r="C77" t="s">
        <v>39</v>
      </c>
      <c r="D77" t="s">
        <v>46</v>
      </c>
      <c r="E77" s="9">
        <v>2498</v>
      </c>
      <c r="F77">
        <v>5</v>
      </c>
      <c r="G77">
        <v>300</v>
      </c>
      <c r="H77" s="9">
        <v>749400</v>
      </c>
      <c r="I77" s="9">
        <v>7494</v>
      </c>
      <c r="J77" s="9">
        <v>741906</v>
      </c>
      <c r="K77" s="9">
        <v>624500</v>
      </c>
      <c r="L77" s="9">
        <v>117406</v>
      </c>
      <c r="M77" s="10">
        <v>41518</v>
      </c>
      <c r="N77">
        <v>9</v>
      </c>
      <c r="O77" t="s">
        <v>29</v>
      </c>
      <c r="P77" t="s">
        <v>14</v>
      </c>
      <c r="Q77" s="15">
        <f>Table2[[#This Row],[Discounts]]/Table2[[#This Row],[Gross Sales]]</f>
        <v>0.01</v>
      </c>
    </row>
    <row r="78" spans="1:17" x14ac:dyDescent="0.35">
      <c r="A78" t="s">
        <v>7</v>
      </c>
      <c r="B78" t="s">
        <v>92</v>
      </c>
      <c r="C78" t="s">
        <v>39</v>
      </c>
      <c r="D78" t="s">
        <v>46</v>
      </c>
      <c r="E78" s="9">
        <v>2498</v>
      </c>
      <c r="F78">
        <v>5</v>
      </c>
      <c r="G78">
        <v>300</v>
      </c>
      <c r="H78" s="9">
        <v>749400</v>
      </c>
      <c r="I78" s="9">
        <v>7494</v>
      </c>
      <c r="J78" s="9">
        <v>741906</v>
      </c>
      <c r="K78" s="9">
        <v>624500</v>
      </c>
      <c r="L78" s="9">
        <v>117406</v>
      </c>
      <c r="M78" s="10">
        <v>41518</v>
      </c>
      <c r="N78">
        <v>9</v>
      </c>
      <c r="O78" t="s">
        <v>29</v>
      </c>
      <c r="P78" t="s">
        <v>14</v>
      </c>
      <c r="Q78" s="15">
        <f>Table2[[#This Row],[Discounts]]/Table2[[#This Row],[Gross Sales]]</f>
        <v>0.01</v>
      </c>
    </row>
    <row r="79" spans="1:17" x14ac:dyDescent="0.35">
      <c r="A79" t="s">
        <v>9</v>
      </c>
      <c r="B79" t="s">
        <v>92</v>
      </c>
      <c r="C79" t="s">
        <v>39</v>
      </c>
      <c r="D79" t="s">
        <v>46</v>
      </c>
      <c r="E79" s="9">
        <v>663</v>
      </c>
      <c r="F79">
        <v>5</v>
      </c>
      <c r="G79">
        <v>125</v>
      </c>
      <c r="H79" s="9">
        <v>82875</v>
      </c>
      <c r="I79" s="9">
        <v>828.75</v>
      </c>
      <c r="J79" s="9">
        <v>82046.25</v>
      </c>
      <c r="K79" s="9">
        <v>79560</v>
      </c>
      <c r="L79" s="9">
        <v>2486.25</v>
      </c>
      <c r="M79" s="10">
        <v>41548</v>
      </c>
      <c r="N79">
        <v>10</v>
      </c>
      <c r="O79" t="s">
        <v>30</v>
      </c>
      <c r="P79" t="s">
        <v>14</v>
      </c>
      <c r="Q79" s="15">
        <f>Table2[[#This Row],[Discounts]]/Table2[[#This Row],[Gross Sales]]</f>
        <v>0.01</v>
      </c>
    </row>
    <row r="80" spans="1:17" x14ac:dyDescent="0.35">
      <c r="A80" t="s">
        <v>8</v>
      </c>
      <c r="B80" t="s">
        <v>92</v>
      </c>
      <c r="C80" t="s">
        <v>40</v>
      </c>
      <c r="D80" t="s">
        <v>46</v>
      </c>
      <c r="E80" s="9">
        <v>1514</v>
      </c>
      <c r="F80">
        <v>10</v>
      </c>
      <c r="G80">
        <v>15</v>
      </c>
      <c r="H80" s="9">
        <v>22710</v>
      </c>
      <c r="I80" s="9">
        <v>227.1</v>
      </c>
      <c r="J80" s="9">
        <v>22482.9</v>
      </c>
      <c r="K80" s="9">
        <v>15140</v>
      </c>
      <c r="L80" s="9">
        <v>7342.9000000000015</v>
      </c>
      <c r="M80" s="10">
        <v>41671</v>
      </c>
      <c r="N80">
        <v>2</v>
      </c>
      <c r="O80" t="s">
        <v>22</v>
      </c>
      <c r="P80" t="s">
        <v>15</v>
      </c>
      <c r="Q80" s="15">
        <f>Table2[[#This Row],[Discounts]]/Table2[[#This Row],[Gross Sales]]</f>
        <v>0.01</v>
      </c>
    </row>
    <row r="81" spans="1:17" x14ac:dyDescent="0.35">
      <c r="A81" t="s">
        <v>10</v>
      </c>
      <c r="B81" t="s">
        <v>92</v>
      </c>
      <c r="C81" t="s">
        <v>40</v>
      </c>
      <c r="D81" t="s">
        <v>46</v>
      </c>
      <c r="E81" s="9">
        <v>4492.5</v>
      </c>
      <c r="F81">
        <v>10</v>
      </c>
      <c r="G81">
        <v>7</v>
      </c>
      <c r="H81" s="9">
        <v>31447.5</v>
      </c>
      <c r="I81" s="9">
        <v>314.47500000000002</v>
      </c>
      <c r="J81" s="9">
        <v>31133.024999999998</v>
      </c>
      <c r="K81" s="9">
        <v>22462.5</v>
      </c>
      <c r="L81" s="9">
        <v>8670.5249999999978</v>
      </c>
      <c r="M81" s="10">
        <v>41730</v>
      </c>
      <c r="N81">
        <v>4</v>
      </c>
      <c r="O81" t="s">
        <v>24</v>
      </c>
      <c r="P81" t="s">
        <v>15</v>
      </c>
      <c r="Q81" s="15">
        <f>Table2[[#This Row],[Discounts]]/Table2[[#This Row],[Gross Sales]]</f>
        <v>0.01</v>
      </c>
    </row>
    <row r="82" spans="1:17" x14ac:dyDescent="0.35">
      <c r="A82" t="s">
        <v>9</v>
      </c>
      <c r="B82" t="s">
        <v>92</v>
      </c>
      <c r="C82" t="s">
        <v>40</v>
      </c>
      <c r="D82" t="s">
        <v>46</v>
      </c>
      <c r="E82" s="9">
        <v>727</v>
      </c>
      <c r="F82">
        <v>10</v>
      </c>
      <c r="G82">
        <v>125</v>
      </c>
      <c r="H82" s="9">
        <v>90875</v>
      </c>
      <c r="I82" s="9">
        <v>908.75</v>
      </c>
      <c r="J82" s="9">
        <v>89966.25</v>
      </c>
      <c r="K82" s="9">
        <v>87240</v>
      </c>
      <c r="L82" s="9">
        <v>2726.25</v>
      </c>
      <c r="M82" s="10">
        <v>41791</v>
      </c>
      <c r="N82">
        <v>6</v>
      </c>
      <c r="O82" t="s">
        <v>26</v>
      </c>
      <c r="P82" t="s">
        <v>15</v>
      </c>
      <c r="Q82" s="15">
        <f>Table2[[#This Row],[Discounts]]/Table2[[#This Row],[Gross Sales]]</f>
        <v>0.01</v>
      </c>
    </row>
    <row r="83" spans="1:17" x14ac:dyDescent="0.35">
      <c r="A83" t="s">
        <v>9</v>
      </c>
      <c r="B83" t="s">
        <v>18</v>
      </c>
      <c r="C83" t="s">
        <v>40</v>
      </c>
      <c r="D83" t="s">
        <v>46</v>
      </c>
      <c r="E83" s="9">
        <v>787</v>
      </c>
      <c r="F83">
        <v>10</v>
      </c>
      <c r="G83">
        <v>125</v>
      </c>
      <c r="H83" s="9">
        <v>98375</v>
      </c>
      <c r="I83" s="9">
        <v>983.75</v>
      </c>
      <c r="J83" s="9">
        <v>97391.25</v>
      </c>
      <c r="K83" s="9">
        <v>94440</v>
      </c>
      <c r="L83" s="9">
        <v>2951.25</v>
      </c>
      <c r="M83" s="10">
        <v>41791</v>
      </c>
      <c r="N83">
        <v>6</v>
      </c>
      <c r="O83" t="s">
        <v>26</v>
      </c>
      <c r="P83" t="s">
        <v>15</v>
      </c>
      <c r="Q83" s="15">
        <f>Table2[[#This Row],[Discounts]]/Table2[[#This Row],[Gross Sales]]</f>
        <v>0.01</v>
      </c>
    </row>
    <row r="84" spans="1:17" x14ac:dyDescent="0.35">
      <c r="A84" t="s">
        <v>9</v>
      </c>
      <c r="B84" t="s">
        <v>20</v>
      </c>
      <c r="C84" t="s">
        <v>40</v>
      </c>
      <c r="D84" t="s">
        <v>46</v>
      </c>
      <c r="E84" s="9">
        <v>1823</v>
      </c>
      <c r="F84">
        <v>10</v>
      </c>
      <c r="G84">
        <v>125</v>
      </c>
      <c r="H84" s="9">
        <v>227875</v>
      </c>
      <c r="I84" s="9">
        <v>2278.75</v>
      </c>
      <c r="J84" s="9">
        <v>225596.25</v>
      </c>
      <c r="K84" s="9">
        <v>218760</v>
      </c>
      <c r="L84" s="9">
        <v>6836.25</v>
      </c>
      <c r="M84" s="10">
        <v>41821</v>
      </c>
      <c r="N84">
        <v>7</v>
      </c>
      <c r="O84" t="s">
        <v>27</v>
      </c>
      <c r="P84" t="s">
        <v>15</v>
      </c>
      <c r="Q84" s="15">
        <f>Table2[[#This Row],[Discounts]]/Table2[[#This Row],[Gross Sales]]</f>
        <v>0.01</v>
      </c>
    </row>
    <row r="85" spans="1:17" x14ac:dyDescent="0.35">
      <c r="A85" t="s">
        <v>8</v>
      </c>
      <c r="B85" t="s">
        <v>19</v>
      </c>
      <c r="C85" t="s">
        <v>40</v>
      </c>
      <c r="D85" t="s">
        <v>46</v>
      </c>
      <c r="E85" s="9">
        <v>747</v>
      </c>
      <c r="F85">
        <v>10</v>
      </c>
      <c r="G85">
        <v>15</v>
      </c>
      <c r="H85" s="9">
        <v>11205</v>
      </c>
      <c r="I85" s="9">
        <v>112.05</v>
      </c>
      <c r="J85" s="9">
        <v>11092.95</v>
      </c>
      <c r="K85" s="9">
        <v>7470</v>
      </c>
      <c r="L85" s="9">
        <v>3622.9500000000007</v>
      </c>
      <c r="M85" s="10">
        <v>41883</v>
      </c>
      <c r="N85">
        <v>9</v>
      </c>
      <c r="O85" t="s">
        <v>29</v>
      </c>
      <c r="P85" t="s">
        <v>15</v>
      </c>
      <c r="Q85" s="15">
        <f>Table2[[#This Row],[Discounts]]/Table2[[#This Row],[Gross Sales]]</f>
        <v>0.01</v>
      </c>
    </row>
    <row r="86" spans="1:17" x14ac:dyDescent="0.35">
      <c r="A86" t="s">
        <v>11</v>
      </c>
      <c r="B86" t="s">
        <v>19</v>
      </c>
      <c r="C86" t="s">
        <v>40</v>
      </c>
      <c r="D86" t="s">
        <v>46</v>
      </c>
      <c r="E86" s="9">
        <v>766</v>
      </c>
      <c r="F86">
        <v>10</v>
      </c>
      <c r="G86">
        <v>12</v>
      </c>
      <c r="H86" s="9">
        <v>9192</v>
      </c>
      <c r="I86" s="9">
        <v>91.92</v>
      </c>
      <c r="J86" s="9">
        <v>9100.08</v>
      </c>
      <c r="K86" s="9">
        <v>2298</v>
      </c>
      <c r="L86" s="9">
        <v>6802.08</v>
      </c>
      <c r="M86" s="10">
        <v>41548</v>
      </c>
      <c r="N86">
        <v>10</v>
      </c>
      <c r="O86" t="s">
        <v>30</v>
      </c>
      <c r="P86" t="s">
        <v>14</v>
      </c>
      <c r="Q86" s="15">
        <f>Table2[[#This Row],[Discounts]]/Table2[[#This Row],[Gross Sales]]</f>
        <v>0.01</v>
      </c>
    </row>
    <row r="87" spans="1:17" x14ac:dyDescent="0.35">
      <c r="A87" t="s">
        <v>7</v>
      </c>
      <c r="B87" t="s">
        <v>92</v>
      </c>
      <c r="C87" t="s">
        <v>40</v>
      </c>
      <c r="D87" t="s">
        <v>46</v>
      </c>
      <c r="E87" s="9">
        <v>2905</v>
      </c>
      <c r="F87">
        <v>10</v>
      </c>
      <c r="G87">
        <v>300</v>
      </c>
      <c r="H87" s="9">
        <v>871500</v>
      </c>
      <c r="I87" s="9">
        <v>8715</v>
      </c>
      <c r="J87" s="9">
        <v>862785</v>
      </c>
      <c r="K87" s="9">
        <v>726250</v>
      </c>
      <c r="L87" s="9">
        <v>136535</v>
      </c>
      <c r="M87" s="10">
        <v>41944</v>
      </c>
      <c r="N87">
        <v>11</v>
      </c>
      <c r="O87" t="s">
        <v>31</v>
      </c>
      <c r="P87" t="s">
        <v>15</v>
      </c>
      <c r="Q87" s="15">
        <f>Table2[[#This Row],[Discounts]]/Table2[[#This Row],[Gross Sales]]</f>
        <v>0.01</v>
      </c>
    </row>
    <row r="88" spans="1:17" x14ac:dyDescent="0.35">
      <c r="A88" t="s">
        <v>10</v>
      </c>
      <c r="B88" t="s">
        <v>18</v>
      </c>
      <c r="C88" t="s">
        <v>40</v>
      </c>
      <c r="D88" t="s">
        <v>46</v>
      </c>
      <c r="E88" s="9">
        <v>2155</v>
      </c>
      <c r="F88">
        <v>10</v>
      </c>
      <c r="G88">
        <v>350</v>
      </c>
      <c r="H88" s="9">
        <v>754250</v>
      </c>
      <c r="I88" s="9">
        <v>7542.5</v>
      </c>
      <c r="J88" s="9">
        <v>746707.5</v>
      </c>
      <c r="K88" s="9">
        <v>560300</v>
      </c>
      <c r="L88" s="9">
        <v>186407.5</v>
      </c>
      <c r="M88" s="10">
        <v>41974</v>
      </c>
      <c r="N88">
        <v>12</v>
      </c>
      <c r="O88" t="s">
        <v>32</v>
      </c>
      <c r="P88" t="s">
        <v>15</v>
      </c>
      <c r="Q88" s="15">
        <f>Table2[[#This Row],[Discounts]]/Table2[[#This Row],[Gross Sales]]</f>
        <v>0.01</v>
      </c>
    </row>
    <row r="89" spans="1:17" x14ac:dyDescent="0.35">
      <c r="A89" t="s">
        <v>10</v>
      </c>
      <c r="B89" t="s">
        <v>18</v>
      </c>
      <c r="C89" t="s">
        <v>41</v>
      </c>
      <c r="D89" t="s">
        <v>46</v>
      </c>
      <c r="E89" s="9">
        <v>3864</v>
      </c>
      <c r="F89">
        <v>120</v>
      </c>
      <c r="G89">
        <v>20</v>
      </c>
      <c r="H89" s="9">
        <v>77280</v>
      </c>
      <c r="I89" s="9">
        <v>772.80000000000007</v>
      </c>
      <c r="J89" s="9">
        <v>76507.200000000012</v>
      </c>
      <c r="K89" s="9">
        <v>38640</v>
      </c>
      <c r="L89" s="9">
        <v>37867.200000000004</v>
      </c>
      <c r="M89" s="10">
        <v>41730</v>
      </c>
      <c r="N89">
        <v>4</v>
      </c>
      <c r="O89" t="s">
        <v>24</v>
      </c>
      <c r="P89" t="s">
        <v>15</v>
      </c>
      <c r="Q89" s="15">
        <f>Table2[[#This Row],[Discounts]]/Table2[[#This Row],[Gross Sales]]</f>
        <v>0.01</v>
      </c>
    </row>
    <row r="90" spans="1:17" x14ac:dyDescent="0.35">
      <c r="A90" t="s">
        <v>10</v>
      </c>
      <c r="B90" t="s">
        <v>20</v>
      </c>
      <c r="C90" t="s">
        <v>41</v>
      </c>
      <c r="D90" t="s">
        <v>46</v>
      </c>
      <c r="E90" s="9">
        <v>362</v>
      </c>
      <c r="F90">
        <v>120</v>
      </c>
      <c r="G90">
        <v>7</v>
      </c>
      <c r="H90" s="9">
        <v>2534</v>
      </c>
      <c r="I90" s="9">
        <v>25.34</v>
      </c>
      <c r="J90" s="9">
        <v>2508.66</v>
      </c>
      <c r="K90" s="9">
        <v>1810</v>
      </c>
      <c r="L90" s="9">
        <v>698.65999999999985</v>
      </c>
      <c r="M90" s="10">
        <v>41760</v>
      </c>
      <c r="N90">
        <v>5</v>
      </c>
      <c r="O90" t="s">
        <v>25</v>
      </c>
      <c r="P90" t="s">
        <v>15</v>
      </c>
      <c r="Q90" s="15">
        <f>Table2[[#This Row],[Discounts]]/Table2[[#This Row],[Gross Sales]]</f>
        <v>0.01</v>
      </c>
    </row>
    <row r="91" spans="1:17" x14ac:dyDescent="0.35">
      <c r="A91" t="s">
        <v>9</v>
      </c>
      <c r="B91" t="s">
        <v>16</v>
      </c>
      <c r="C91" t="s">
        <v>41</v>
      </c>
      <c r="D91" t="s">
        <v>46</v>
      </c>
      <c r="E91" s="9">
        <v>923</v>
      </c>
      <c r="F91">
        <v>120</v>
      </c>
      <c r="G91">
        <v>125</v>
      </c>
      <c r="H91" s="9">
        <v>115375</v>
      </c>
      <c r="I91" s="9">
        <v>1153.75</v>
      </c>
      <c r="J91" s="9">
        <v>114221.25</v>
      </c>
      <c r="K91" s="9">
        <v>110760</v>
      </c>
      <c r="L91" s="9">
        <v>3461.25</v>
      </c>
      <c r="M91" s="10">
        <v>41852</v>
      </c>
      <c r="N91">
        <v>8</v>
      </c>
      <c r="O91" t="s">
        <v>28</v>
      </c>
      <c r="P91" t="s">
        <v>15</v>
      </c>
      <c r="Q91" s="15">
        <f>Table2[[#This Row],[Discounts]]/Table2[[#This Row],[Gross Sales]]</f>
        <v>0.01</v>
      </c>
    </row>
    <row r="92" spans="1:17" x14ac:dyDescent="0.35">
      <c r="A92" t="s">
        <v>9</v>
      </c>
      <c r="B92" t="s">
        <v>92</v>
      </c>
      <c r="C92" t="s">
        <v>41</v>
      </c>
      <c r="D92" t="s">
        <v>46</v>
      </c>
      <c r="E92" s="9">
        <v>663</v>
      </c>
      <c r="F92">
        <v>120</v>
      </c>
      <c r="G92">
        <v>125</v>
      </c>
      <c r="H92" s="9">
        <v>82875</v>
      </c>
      <c r="I92" s="9">
        <v>828.75</v>
      </c>
      <c r="J92" s="9">
        <v>82046.25</v>
      </c>
      <c r="K92" s="9">
        <v>79560</v>
      </c>
      <c r="L92" s="9">
        <v>2486.25</v>
      </c>
      <c r="M92" s="10">
        <v>41548</v>
      </c>
      <c r="N92">
        <v>10</v>
      </c>
      <c r="O92" t="s">
        <v>30</v>
      </c>
      <c r="P92" t="s">
        <v>14</v>
      </c>
      <c r="Q92" s="15">
        <f>Table2[[#This Row],[Discounts]]/Table2[[#This Row],[Gross Sales]]</f>
        <v>0.01</v>
      </c>
    </row>
    <row r="93" spans="1:17" x14ac:dyDescent="0.35">
      <c r="A93" t="s">
        <v>10</v>
      </c>
      <c r="B93" t="s">
        <v>16</v>
      </c>
      <c r="C93" t="s">
        <v>41</v>
      </c>
      <c r="D93" t="s">
        <v>46</v>
      </c>
      <c r="E93" s="9">
        <v>2092</v>
      </c>
      <c r="F93">
        <v>120</v>
      </c>
      <c r="G93">
        <v>7</v>
      </c>
      <c r="H93" s="9">
        <v>14644</v>
      </c>
      <c r="I93" s="9">
        <v>146.44</v>
      </c>
      <c r="J93" s="9">
        <v>14497.56</v>
      </c>
      <c r="K93" s="9">
        <v>10460</v>
      </c>
      <c r="L93" s="9">
        <v>4037.5599999999995</v>
      </c>
      <c r="M93" s="10">
        <v>41579</v>
      </c>
      <c r="N93">
        <v>11</v>
      </c>
      <c r="O93" t="s">
        <v>31</v>
      </c>
      <c r="P93" t="s">
        <v>14</v>
      </c>
      <c r="Q93" s="15">
        <f>Table2[[#This Row],[Discounts]]/Table2[[#This Row],[Gross Sales]]</f>
        <v>0.01</v>
      </c>
    </row>
    <row r="94" spans="1:17" x14ac:dyDescent="0.35">
      <c r="A94" t="s">
        <v>10</v>
      </c>
      <c r="B94" t="s">
        <v>19</v>
      </c>
      <c r="C94" t="s">
        <v>42</v>
      </c>
      <c r="D94" t="s">
        <v>46</v>
      </c>
      <c r="E94" s="9">
        <v>263</v>
      </c>
      <c r="F94">
        <v>250</v>
      </c>
      <c r="G94">
        <v>7</v>
      </c>
      <c r="H94" s="9">
        <v>1841</v>
      </c>
      <c r="I94" s="9">
        <v>18.41</v>
      </c>
      <c r="J94" s="9">
        <v>1822.59</v>
      </c>
      <c r="K94" s="9">
        <v>1315</v>
      </c>
      <c r="L94" s="9">
        <v>507.58999999999992</v>
      </c>
      <c r="M94" s="10">
        <v>41699</v>
      </c>
      <c r="N94">
        <v>3</v>
      </c>
      <c r="O94" t="s">
        <v>23</v>
      </c>
      <c r="P94" t="s">
        <v>15</v>
      </c>
      <c r="Q94" s="15">
        <f>Table2[[#This Row],[Discounts]]/Table2[[#This Row],[Gross Sales]]</f>
        <v>0.01</v>
      </c>
    </row>
    <row r="95" spans="1:17" x14ac:dyDescent="0.35">
      <c r="A95" t="s">
        <v>10</v>
      </c>
      <c r="B95" t="s">
        <v>16</v>
      </c>
      <c r="C95" t="s">
        <v>42</v>
      </c>
      <c r="D95" t="s">
        <v>46</v>
      </c>
      <c r="E95" s="9">
        <v>943.5</v>
      </c>
      <c r="F95">
        <v>250</v>
      </c>
      <c r="G95">
        <v>350</v>
      </c>
      <c r="H95" s="9">
        <v>330225</v>
      </c>
      <c r="I95" s="9">
        <v>3302.25</v>
      </c>
      <c r="J95" s="9">
        <v>326922.75</v>
      </c>
      <c r="K95" s="9">
        <v>245310</v>
      </c>
      <c r="L95" s="9">
        <v>81612.75</v>
      </c>
      <c r="M95" s="10">
        <v>41730</v>
      </c>
      <c r="N95">
        <v>4</v>
      </c>
      <c r="O95" t="s">
        <v>24</v>
      </c>
      <c r="P95" t="s">
        <v>15</v>
      </c>
      <c r="Q95" s="15">
        <f>Table2[[#This Row],[Discounts]]/Table2[[#This Row],[Gross Sales]]</f>
        <v>0.01</v>
      </c>
    </row>
    <row r="96" spans="1:17" x14ac:dyDescent="0.35">
      <c r="A96" t="s">
        <v>9</v>
      </c>
      <c r="B96" t="s">
        <v>92</v>
      </c>
      <c r="C96" t="s">
        <v>42</v>
      </c>
      <c r="D96" t="s">
        <v>46</v>
      </c>
      <c r="E96" s="9">
        <v>727</v>
      </c>
      <c r="F96">
        <v>250</v>
      </c>
      <c r="G96">
        <v>125</v>
      </c>
      <c r="H96" s="9">
        <v>90875</v>
      </c>
      <c r="I96" s="9">
        <v>908.75</v>
      </c>
      <c r="J96" s="9">
        <v>89966.25</v>
      </c>
      <c r="K96" s="9">
        <v>87240</v>
      </c>
      <c r="L96" s="9">
        <v>2726.25</v>
      </c>
      <c r="M96" s="10">
        <v>41791</v>
      </c>
      <c r="N96">
        <v>6</v>
      </c>
      <c r="O96" t="s">
        <v>26</v>
      </c>
      <c r="P96" t="s">
        <v>15</v>
      </c>
      <c r="Q96" s="15">
        <f>Table2[[#This Row],[Discounts]]/Table2[[#This Row],[Gross Sales]]</f>
        <v>0.01</v>
      </c>
    </row>
    <row r="97" spans="1:17" x14ac:dyDescent="0.35">
      <c r="A97" t="s">
        <v>9</v>
      </c>
      <c r="B97" t="s">
        <v>18</v>
      </c>
      <c r="C97" t="s">
        <v>42</v>
      </c>
      <c r="D97" t="s">
        <v>46</v>
      </c>
      <c r="E97" s="9">
        <v>787</v>
      </c>
      <c r="F97">
        <v>250</v>
      </c>
      <c r="G97">
        <v>125</v>
      </c>
      <c r="H97" s="9">
        <v>98375</v>
      </c>
      <c r="I97" s="9">
        <v>983.75</v>
      </c>
      <c r="J97" s="9">
        <v>97391.25</v>
      </c>
      <c r="K97" s="9">
        <v>94440</v>
      </c>
      <c r="L97" s="9">
        <v>2951.25</v>
      </c>
      <c r="M97" s="10">
        <v>41791</v>
      </c>
      <c r="N97">
        <v>6</v>
      </c>
      <c r="O97" t="s">
        <v>26</v>
      </c>
      <c r="P97" t="s">
        <v>15</v>
      </c>
      <c r="Q97" s="15">
        <f>Table2[[#This Row],[Discounts]]/Table2[[#This Row],[Gross Sales]]</f>
        <v>0.01</v>
      </c>
    </row>
    <row r="98" spans="1:17" x14ac:dyDescent="0.35">
      <c r="A98" t="s">
        <v>7</v>
      </c>
      <c r="B98" t="s">
        <v>19</v>
      </c>
      <c r="C98" t="s">
        <v>42</v>
      </c>
      <c r="D98" t="s">
        <v>46</v>
      </c>
      <c r="E98" s="9">
        <v>986</v>
      </c>
      <c r="F98">
        <v>250</v>
      </c>
      <c r="G98">
        <v>300</v>
      </c>
      <c r="H98" s="9">
        <v>295800</v>
      </c>
      <c r="I98" s="9">
        <v>2958</v>
      </c>
      <c r="J98" s="9">
        <v>292842</v>
      </c>
      <c r="K98" s="9">
        <v>246500</v>
      </c>
      <c r="L98" s="9">
        <v>46342</v>
      </c>
      <c r="M98" s="10">
        <v>41883</v>
      </c>
      <c r="N98">
        <v>9</v>
      </c>
      <c r="O98" t="s">
        <v>29</v>
      </c>
      <c r="P98" t="s">
        <v>15</v>
      </c>
      <c r="Q98" s="15">
        <f>Table2[[#This Row],[Discounts]]/Table2[[#This Row],[Gross Sales]]</f>
        <v>0.01</v>
      </c>
    </row>
    <row r="99" spans="1:17" x14ac:dyDescent="0.35">
      <c r="A99" t="s">
        <v>7</v>
      </c>
      <c r="B99" t="s">
        <v>20</v>
      </c>
      <c r="C99" t="s">
        <v>42</v>
      </c>
      <c r="D99" t="s">
        <v>46</v>
      </c>
      <c r="E99" s="9">
        <v>494</v>
      </c>
      <c r="F99">
        <v>250</v>
      </c>
      <c r="G99">
        <v>300</v>
      </c>
      <c r="H99" s="9">
        <v>148200</v>
      </c>
      <c r="I99" s="9">
        <v>1482</v>
      </c>
      <c r="J99" s="9">
        <v>146718</v>
      </c>
      <c r="K99" s="9">
        <v>123500</v>
      </c>
      <c r="L99" s="9">
        <v>23218</v>
      </c>
      <c r="M99" s="10">
        <v>41548</v>
      </c>
      <c r="N99">
        <v>10</v>
      </c>
      <c r="O99" t="s">
        <v>30</v>
      </c>
      <c r="P99" t="s">
        <v>14</v>
      </c>
      <c r="Q99" s="15">
        <f>Table2[[#This Row],[Discounts]]/Table2[[#This Row],[Gross Sales]]</f>
        <v>0.01</v>
      </c>
    </row>
    <row r="100" spans="1:17" x14ac:dyDescent="0.35">
      <c r="A100" t="s">
        <v>10</v>
      </c>
      <c r="B100" t="s">
        <v>20</v>
      </c>
      <c r="C100" t="s">
        <v>42</v>
      </c>
      <c r="D100" t="s">
        <v>46</v>
      </c>
      <c r="E100" s="9">
        <v>1397</v>
      </c>
      <c r="F100">
        <v>250</v>
      </c>
      <c r="G100">
        <v>350</v>
      </c>
      <c r="H100" s="9">
        <v>488950</v>
      </c>
      <c r="I100" s="9">
        <v>4889.5</v>
      </c>
      <c r="J100" s="9">
        <v>484060.5</v>
      </c>
      <c r="K100" s="9">
        <v>363220</v>
      </c>
      <c r="L100" s="9">
        <v>120840.5</v>
      </c>
      <c r="M100" s="10">
        <v>41913</v>
      </c>
      <c r="N100">
        <v>10</v>
      </c>
      <c r="O100" t="s">
        <v>30</v>
      </c>
      <c r="P100" t="s">
        <v>15</v>
      </c>
      <c r="Q100" s="15">
        <f>Table2[[#This Row],[Discounts]]/Table2[[#This Row],[Gross Sales]]</f>
        <v>0.01</v>
      </c>
    </row>
    <row r="101" spans="1:17" x14ac:dyDescent="0.35">
      <c r="A101" t="s">
        <v>9</v>
      </c>
      <c r="B101" t="s">
        <v>18</v>
      </c>
      <c r="C101" t="s">
        <v>42</v>
      </c>
      <c r="D101" t="s">
        <v>46</v>
      </c>
      <c r="E101" s="9">
        <v>1744</v>
      </c>
      <c r="F101">
        <v>250</v>
      </c>
      <c r="G101">
        <v>125</v>
      </c>
      <c r="H101" s="9">
        <v>218000</v>
      </c>
      <c r="I101" s="9">
        <v>2180</v>
      </c>
      <c r="J101" s="9">
        <v>215820</v>
      </c>
      <c r="K101" s="9">
        <v>209280</v>
      </c>
      <c r="L101" s="9">
        <v>6540</v>
      </c>
      <c r="M101" s="10">
        <v>41944</v>
      </c>
      <c r="N101">
        <v>11</v>
      </c>
      <c r="O101" t="s">
        <v>31</v>
      </c>
      <c r="P101" t="s">
        <v>15</v>
      </c>
      <c r="Q101" s="15">
        <f>Table2[[#This Row],[Discounts]]/Table2[[#This Row],[Gross Sales]]</f>
        <v>0.01</v>
      </c>
    </row>
    <row r="102" spans="1:17" x14ac:dyDescent="0.35">
      <c r="A102" t="s">
        <v>11</v>
      </c>
      <c r="B102" t="s">
        <v>92</v>
      </c>
      <c r="C102" t="s">
        <v>43</v>
      </c>
      <c r="D102" t="s">
        <v>46</v>
      </c>
      <c r="E102" s="9">
        <v>1989</v>
      </c>
      <c r="F102">
        <v>260</v>
      </c>
      <c r="G102">
        <v>12</v>
      </c>
      <c r="H102" s="9">
        <v>23868</v>
      </c>
      <c r="I102" s="9">
        <v>238.68</v>
      </c>
      <c r="J102" s="9">
        <v>23629.32</v>
      </c>
      <c r="K102" s="9">
        <v>5967</v>
      </c>
      <c r="L102" s="9">
        <v>17662.32</v>
      </c>
      <c r="M102" s="10">
        <v>41518</v>
      </c>
      <c r="N102">
        <v>9</v>
      </c>
      <c r="O102" t="s">
        <v>29</v>
      </c>
      <c r="P102" t="s">
        <v>14</v>
      </c>
      <c r="Q102" s="15">
        <f>Table2[[#This Row],[Discounts]]/Table2[[#This Row],[Gross Sales]]</f>
        <v>0.01</v>
      </c>
    </row>
    <row r="103" spans="1:17" x14ac:dyDescent="0.35">
      <c r="A103" t="s">
        <v>8</v>
      </c>
      <c r="B103" t="s">
        <v>18</v>
      </c>
      <c r="C103" t="s">
        <v>43</v>
      </c>
      <c r="D103" t="s">
        <v>46</v>
      </c>
      <c r="E103" s="9">
        <v>321</v>
      </c>
      <c r="F103">
        <v>260</v>
      </c>
      <c r="G103">
        <v>15</v>
      </c>
      <c r="H103" s="9">
        <v>4815</v>
      </c>
      <c r="I103" s="9">
        <v>48.15</v>
      </c>
      <c r="J103" s="9">
        <v>4766.8500000000004</v>
      </c>
      <c r="K103" s="9">
        <v>3210</v>
      </c>
      <c r="L103" s="9">
        <v>1556.8500000000004</v>
      </c>
      <c r="M103" s="10">
        <v>41579</v>
      </c>
      <c r="N103">
        <v>11</v>
      </c>
      <c r="O103" t="s">
        <v>31</v>
      </c>
      <c r="P103" t="s">
        <v>14</v>
      </c>
      <c r="Q103" s="15">
        <f>Table2[[#This Row],[Discounts]]/Table2[[#This Row],[Gross Sales]]</f>
        <v>0.01</v>
      </c>
    </row>
    <row r="104" spans="1:17" x14ac:dyDescent="0.35">
      <c r="A104" t="s">
        <v>9</v>
      </c>
      <c r="B104" t="s">
        <v>16</v>
      </c>
      <c r="C104" t="s">
        <v>38</v>
      </c>
      <c r="D104" t="s">
        <v>46</v>
      </c>
      <c r="E104" s="9">
        <v>742.5</v>
      </c>
      <c r="F104">
        <v>3</v>
      </c>
      <c r="G104">
        <v>125</v>
      </c>
      <c r="H104" s="9">
        <v>92812.5</v>
      </c>
      <c r="I104" s="9">
        <v>1856.25</v>
      </c>
      <c r="J104" s="9">
        <v>90956.25</v>
      </c>
      <c r="K104" s="9">
        <v>89100</v>
      </c>
      <c r="L104" s="9">
        <v>1856.25</v>
      </c>
      <c r="M104" s="10">
        <v>41730</v>
      </c>
      <c r="N104">
        <v>4</v>
      </c>
      <c r="O104" t="s">
        <v>24</v>
      </c>
      <c r="P104" t="s">
        <v>15</v>
      </c>
      <c r="Q104" s="15">
        <f>Table2[[#This Row],[Discounts]]/Table2[[#This Row],[Gross Sales]]</f>
        <v>0.02</v>
      </c>
    </row>
    <row r="105" spans="1:17" x14ac:dyDescent="0.35">
      <c r="A105" t="s">
        <v>11</v>
      </c>
      <c r="B105" t="s">
        <v>16</v>
      </c>
      <c r="C105" t="s">
        <v>38</v>
      </c>
      <c r="D105" t="s">
        <v>46</v>
      </c>
      <c r="E105" s="9">
        <v>1295</v>
      </c>
      <c r="F105">
        <v>3</v>
      </c>
      <c r="G105">
        <v>12</v>
      </c>
      <c r="H105" s="9">
        <v>15540</v>
      </c>
      <c r="I105" s="9">
        <v>310.8</v>
      </c>
      <c r="J105" s="9">
        <v>15229.2</v>
      </c>
      <c r="K105" s="9">
        <v>3885</v>
      </c>
      <c r="L105" s="9">
        <v>11344.2</v>
      </c>
      <c r="M105" s="10">
        <v>41913</v>
      </c>
      <c r="N105">
        <v>10</v>
      </c>
      <c r="O105" t="s">
        <v>30</v>
      </c>
      <c r="P105" t="s">
        <v>15</v>
      </c>
      <c r="Q105" s="15">
        <f>Table2[[#This Row],[Discounts]]/Table2[[#This Row],[Gross Sales]]</f>
        <v>0.02</v>
      </c>
    </row>
    <row r="106" spans="1:17" x14ac:dyDescent="0.35">
      <c r="A106" t="s">
        <v>7</v>
      </c>
      <c r="B106" t="s">
        <v>19</v>
      </c>
      <c r="C106" t="s">
        <v>38</v>
      </c>
      <c r="D106" t="s">
        <v>46</v>
      </c>
      <c r="E106" s="9">
        <v>214</v>
      </c>
      <c r="F106">
        <v>3</v>
      </c>
      <c r="G106">
        <v>300</v>
      </c>
      <c r="H106" s="9">
        <v>64200</v>
      </c>
      <c r="I106" s="9">
        <v>1284</v>
      </c>
      <c r="J106" s="9">
        <v>62916</v>
      </c>
      <c r="K106" s="9">
        <v>53500</v>
      </c>
      <c r="L106" s="9">
        <v>9416</v>
      </c>
      <c r="M106" s="10">
        <v>41548</v>
      </c>
      <c r="N106">
        <v>10</v>
      </c>
      <c r="O106" t="s">
        <v>30</v>
      </c>
      <c r="P106" t="s">
        <v>14</v>
      </c>
      <c r="Q106" s="15">
        <f>Table2[[#This Row],[Discounts]]/Table2[[#This Row],[Gross Sales]]</f>
        <v>0.02</v>
      </c>
    </row>
    <row r="107" spans="1:17" x14ac:dyDescent="0.35">
      <c r="A107" t="s">
        <v>10</v>
      </c>
      <c r="B107" t="s">
        <v>18</v>
      </c>
      <c r="C107" t="s">
        <v>38</v>
      </c>
      <c r="D107" t="s">
        <v>46</v>
      </c>
      <c r="E107" s="9">
        <v>2145</v>
      </c>
      <c r="F107">
        <v>3</v>
      </c>
      <c r="G107">
        <v>7</v>
      </c>
      <c r="H107" s="9">
        <v>15015</v>
      </c>
      <c r="I107" s="9">
        <v>300.3</v>
      </c>
      <c r="J107" s="9">
        <v>14714.7</v>
      </c>
      <c r="K107" s="9">
        <v>10725</v>
      </c>
      <c r="L107" s="9">
        <v>3989.7000000000007</v>
      </c>
      <c r="M107" s="10">
        <v>41579</v>
      </c>
      <c r="N107">
        <v>11</v>
      </c>
      <c r="O107" t="s">
        <v>31</v>
      </c>
      <c r="P107" t="s">
        <v>14</v>
      </c>
      <c r="Q107" s="15">
        <f>Table2[[#This Row],[Discounts]]/Table2[[#This Row],[Gross Sales]]</f>
        <v>0.02</v>
      </c>
    </row>
    <row r="108" spans="1:17" x14ac:dyDescent="0.35">
      <c r="A108" t="s">
        <v>10</v>
      </c>
      <c r="B108" t="s">
        <v>16</v>
      </c>
      <c r="C108" t="s">
        <v>38</v>
      </c>
      <c r="D108" t="s">
        <v>46</v>
      </c>
      <c r="E108" s="9">
        <v>2852</v>
      </c>
      <c r="F108">
        <v>3</v>
      </c>
      <c r="G108">
        <v>350</v>
      </c>
      <c r="H108" s="9">
        <v>998200</v>
      </c>
      <c r="I108" s="9">
        <v>19964</v>
      </c>
      <c r="J108" s="9">
        <v>978236</v>
      </c>
      <c r="K108" s="9">
        <v>741520</v>
      </c>
      <c r="L108" s="9">
        <v>236716</v>
      </c>
      <c r="M108" s="10">
        <v>41974</v>
      </c>
      <c r="N108">
        <v>12</v>
      </c>
      <c r="O108" t="s">
        <v>32</v>
      </c>
      <c r="P108" t="s">
        <v>15</v>
      </c>
      <c r="Q108" s="15">
        <f>Table2[[#This Row],[Discounts]]/Table2[[#This Row],[Gross Sales]]</f>
        <v>0.02</v>
      </c>
    </row>
    <row r="109" spans="1:17" x14ac:dyDescent="0.35">
      <c r="A109" t="s">
        <v>11</v>
      </c>
      <c r="B109" t="s">
        <v>92</v>
      </c>
      <c r="C109" t="s">
        <v>39</v>
      </c>
      <c r="D109" t="s">
        <v>46</v>
      </c>
      <c r="E109" s="9">
        <v>1142</v>
      </c>
      <c r="F109">
        <v>5</v>
      </c>
      <c r="G109">
        <v>12</v>
      </c>
      <c r="H109" s="9">
        <v>13704</v>
      </c>
      <c r="I109" s="9">
        <v>274.08</v>
      </c>
      <c r="J109" s="9">
        <v>13429.92</v>
      </c>
      <c r="K109" s="9">
        <v>3426</v>
      </c>
      <c r="L109" s="9">
        <v>10003.92</v>
      </c>
      <c r="M109" s="10">
        <v>41791</v>
      </c>
      <c r="N109">
        <v>6</v>
      </c>
      <c r="O109" t="s">
        <v>26</v>
      </c>
      <c r="P109" t="s">
        <v>15</v>
      </c>
      <c r="Q109" s="15">
        <f>Table2[[#This Row],[Discounts]]/Table2[[#This Row],[Gross Sales]]</f>
        <v>0.02</v>
      </c>
    </row>
    <row r="110" spans="1:17" x14ac:dyDescent="0.35">
      <c r="A110" t="s">
        <v>10</v>
      </c>
      <c r="B110" t="s">
        <v>92</v>
      </c>
      <c r="C110" t="s">
        <v>39</v>
      </c>
      <c r="D110" t="s">
        <v>46</v>
      </c>
      <c r="E110" s="9">
        <v>1566</v>
      </c>
      <c r="F110">
        <v>5</v>
      </c>
      <c r="G110">
        <v>20</v>
      </c>
      <c r="H110" s="9">
        <v>31320</v>
      </c>
      <c r="I110" s="9">
        <v>626.4</v>
      </c>
      <c r="J110" s="9">
        <v>30693.599999999999</v>
      </c>
      <c r="K110" s="9">
        <v>15660</v>
      </c>
      <c r="L110" s="9">
        <v>15033.599999999999</v>
      </c>
      <c r="M110" s="10">
        <v>41913</v>
      </c>
      <c r="N110">
        <v>10</v>
      </c>
      <c r="O110" t="s">
        <v>30</v>
      </c>
      <c r="P110" t="s">
        <v>15</v>
      </c>
      <c r="Q110" s="15">
        <f>Table2[[#This Row],[Discounts]]/Table2[[#This Row],[Gross Sales]]</f>
        <v>0.02</v>
      </c>
    </row>
    <row r="111" spans="1:17" x14ac:dyDescent="0.35">
      <c r="A111" t="s">
        <v>11</v>
      </c>
      <c r="B111" t="s">
        <v>20</v>
      </c>
      <c r="C111" t="s">
        <v>39</v>
      </c>
      <c r="D111" t="s">
        <v>46</v>
      </c>
      <c r="E111" s="9">
        <v>690</v>
      </c>
      <c r="F111">
        <v>5</v>
      </c>
      <c r="G111">
        <v>12</v>
      </c>
      <c r="H111" s="9">
        <v>8280</v>
      </c>
      <c r="I111" s="9">
        <v>165.6</v>
      </c>
      <c r="J111" s="9">
        <v>8114.4</v>
      </c>
      <c r="K111" s="9">
        <v>2070</v>
      </c>
      <c r="L111" s="9">
        <v>6044.4</v>
      </c>
      <c r="M111" s="10">
        <v>41944</v>
      </c>
      <c r="N111">
        <v>11</v>
      </c>
      <c r="O111" t="s">
        <v>31</v>
      </c>
      <c r="P111" t="s">
        <v>15</v>
      </c>
      <c r="Q111" s="15">
        <f>Table2[[#This Row],[Discounts]]/Table2[[#This Row],[Gross Sales]]</f>
        <v>0.02</v>
      </c>
    </row>
    <row r="112" spans="1:17" x14ac:dyDescent="0.35">
      <c r="A112" t="s">
        <v>9</v>
      </c>
      <c r="B112" t="s">
        <v>20</v>
      </c>
      <c r="C112" t="s">
        <v>39</v>
      </c>
      <c r="D112" t="s">
        <v>46</v>
      </c>
      <c r="E112" s="9">
        <v>1660</v>
      </c>
      <c r="F112">
        <v>5</v>
      </c>
      <c r="G112">
        <v>125</v>
      </c>
      <c r="H112" s="9">
        <v>207500</v>
      </c>
      <c r="I112" s="9">
        <v>4150</v>
      </c>
      <c r="J112" s="9">
        <v>203350</v>
      </c>
      <c r="K112" s="9">
        <v>199200</v>
      </c>
      <c r="L112" s="9">
        <v>4150</v>
      </c>
      <c r="M112" s="10">
        <v>41579</v>
      </c>
      <c r="N112">
        <v>11</v>
      </c>
      <c r="O112" t="s">
        <v>31</v>
      </c>
      <c r="P112" t="s">
        <v>14</v>
      </c>
      <c r="Q112" s="15">
        <f>Table2[[#This Row],[Discounts]]/Table2[[#This Row],[Gross Sales]]</f>
        <v>0.02</v>
      </c>
    </row>
    <row r="113" spans="1:17" x14ac:dyDescent="0.35">
      <c r="A113" t="s">
        <v>8</v>
      </c>
      <c r="B113" t="s">
        <v>16</v>
      </c>
      <c r="C113" t="s">
        <v>40</v>
      </c>
      <c r="D113" t="s">
        <v>46</v>
      </c>
      <c r="E113" s="9">
        <v>2363</v>
      </c>
      <c r="F113">
        <v>10</v>
      </c>
      <c r="G113">
        <v>15</v>
      </c>
      <c r="H113" s="9">
        <v>35445</v>
      </c>
      <c r="I113" s="9">
        <v>708.9</v>
      </c>
      <c r="J113" s="9">
        <v>34736.1</v>
      </c>
      <c r="K113" s="9">
        <v>23630</v>
      </c>
      <c r="L113" s="9">
        <v>11106.099999999999</v>
      </c>
      <c r="M113" s="10">
        <v>41671</v>
      </c>
      <c r="N113">
        <v>2</v>
      </c>
      <c r="O113" t="s">
        <v>22</v>
      </c>
      <c r="P113" t="s">
        <v>15</v>
      </c>
      <c r="Q113" s="15">
        <f>Table2[[#This Row],[Discounts]]/Table2[[#This Row],[Gross Sales]]</f>
        <v>0.02</v>
      </c>
    </row>
    <row r="114" spans="1:17" x14ac:dyDescent="0.35">
      <c r="A114" t="s">
        <v>7</v>
      </c>
      <c r="B114" t="s">
        <v>18</v>
      </c>
      <c r="C114" t="s">
        <v>40</v>
      </c>
      <c r="D114" t="s">
        <v>46</v>
      </c>
      <c r="E114" s="9">
        <v>918</v>
      </c>
      <c r="F114">
        <v>10</v>
      </c>
      <c r="G114">
        <v>300</v>
      </c>
      <c r="H114" s="9">
        <v>275400</v>
      </c>
      <c r="I114" s="9">
        <v>5508</v>
      </c>
      <c r="J114" s="9">
        <v>269892</v>
      </c>
      <c r="K114" s="9">
        <v>229500</v>
      </c>
      <c r="L114" s="9">
        <v>40392</v>
      </c>
      <c r="M114" s="10">
        <v>41760</v>
      </c>
      <c r="N114">
        <v>5</v>
      </c>
      <c r="O114" t="s">
        <v>25</v>
      </c>
      <c r="P114" t="s">
        <v>15</v>
      </c>
      <c r="Q114" s="15">
        <f>Table2[[#This Row],[Discounts]]/Table2[[#This Row],[Gross Sales]]</f>
        <v>0.02</v>
      </c>
    </row>
    <row r="115" spans="1:17" x14ac:dyDescent="0.35">
      <c r="A115" t="s">
        <v>7</v>
      </c>
      <c r="B115" t="s">
        <v>19</v>
      </c>
      <c r="C115" t="s">
        <v>40</v>
      </c>
      <c r="D115" t="s">
        <v>46</v>
      </c>
      <c r="E115" s="9">
        <v>1728</v>
      </c>
      <c r="F115">
        <v>10</v>
      </c>
      <c r="G115">
        <v>300</v>
      </c>
      <c r="H115" s="9">
        <v>518400</v>
      </c>
      <c r="I115" s="9">
        <v>10368</v>
      </c>
      <c r="J115" s="9">
        <v>508032</v>
      </c>
      <c r="K115" s="9">
        <v>432000</v>
      </c>
      <c r="L115" s="9">
        <v>76032</v>
      </c>
      <c r="M115" s="10">
        <v>41760</v>
      </c>
      <c r="N115">
        <v>5</v>
      </c>
      <c r="O115" t="s">
        <v>25</v>
      </c>
      <c r="P115" t="s">
        <v>15</v>
      </c>
      <c r="Q115" s="15">
        <f>Table2[[#This Row],[Discounts]]/Table2[[#This Row],[Gross Sales]]</f>
        <v>0.02</v>
      </c>
    </row>
    <row r="116" spans="1:17" x14ac:dyDescent="0.35">
      <c r="A116" t="s">
        <v>11</v>
      </c>
      <c r="B116" t="s">
        <v>92</v>
      </c>
      <c r="C116" t="s">
        <v>40</v>
      </c>
      <c r="D116" t="s">
        <v>46</v>
      </c>
      <c r="E116" s="9">
        <v>1142</v>
      </c>
      <c r="F116">
        <v>10</v>
      </c>
      <c r="G116">
        <v>12</v>
      </c>
      <c r="H116" s="9">
        <v>13704</v>
      </c>
      <c r="I116" s="9">
        <v>274.08</v>
      </c>
      <c r="J116" s="9">
        <v>13429.92</v>
      </c>
      <c r="K116" s="9">
        <v>3426</v>
      </c>
      <c r="L116" s="9">
        <v>10003.92</v>
      </c>
      <c r="M116" s="10">
        <v>41791</v>
      </c>
      <c r="N116">
        <v>6</v>
      </c>
      <c r="O116" t="s">
        <v>26</v>
      </c>
      <c r="P116" t="s">
        <v>15</v>
      </c>
      <c r="Q116" s="15">
        <f>Table2[[#This Row],[Discounts]]/Table2[[#This Row],[Gross Sales]]</f>
        <v>0.02</v>
      </c>
    </row>
    <row r="117" spans="1:17" x14ac:dyDescent="0.35">
      <c r="A117" t="s">
        <v>9</v>
      </c>
      <c r="B117" t="s">
        <v>20</v>
      </c>
      <c r="C117" t="s">
        <v>40</v>
      </c>
      <c r="D117" t="s">
        <v>46</v>
      </c>
      <c r="E117" s="9">
        <v>662</v>
      </c>
      <c r="F117">
        <v>10</v>
      </c>
      <c r="G117">
        <v>125</v>
      </c>
      <c r="H117" s="9">
        <v>82750</v>
      </c>
      <c r="I117" s="9">
        <v>1655</v>
      </c>
      <c r="J117" s="9">
        <v>81095</v>
      </c>
      <c r="K117" s="9">
        <v>79440</v>
      </c>
      <c r="L117" s="9">
        <v>1655</v>
      </c>
      <c r="M117" s="10">
        <v>41791</v>
      </c>
      <c r="N117">
        <v>6</v>
      </c>
      <c r="O117" t="s">
        <v>26</v>
      </c>
      <c r="P117" t="s">
        <v>15</v>
      </c>
      <c r="Q117" s="15">
        <f>Table2[[#This Row],[Discounts]]/Table2[[#This Row],[Gross Sales]]</f>
        <v>0.02</v>
      </c>
    </row>
    <row r="118" spans="1:17" x14ac:dyDescent="0.35">
      <c r="A118" t="s">
        <v>11</v>
      </c>
      <c r="B118" t="s">
        <v>16</v>
      </c>
      <c r="C118" t="s">
        <v>40</v>
      </c>
      <c r="D118" t="s">
        <v>46</v>
      </c>
      <c r="E118" s="9">
        <v>1295</v>
      </c>
      <c r="F118">
        <v>10</v>
      </c>
      <c r="G118">
        <v>12</v>
      </c>
      <c r="H118" s="9">
        <v>15540</v>
      </c>
      <c r="I118" s="9">
        <v>310.8</v>
      </c>
      <c r="J118" s="9">
        <v>15229.2</v>
      </c>
      <c r="K118" s="9">
        <v>3885</v>
      </c>
      <c r="L118" s="9">
        <v>11344.2</v>
      </c>
      <c r="M118" s="10">
        <v>41913</v>
      </c>
      <c r="N118">
        <v>10</v>
      </c>
      <c r="O118" t="s">
        <v>30</v>
      </c>
      <c r="P118" t="s">
        <v>15</v>
      </c>
      <c r="Q118" s="15">
        <f>Table2[[#This Row],[Discounts]]/Table2[[#This Row],[Gross Sales]]</f>
        <v>0.02</v>
      </c>
    </row>
    <row r="119" spans="1:17" x14ac:dyDescent="0.35">
      <c r="A119" t="s">
        <v>9</v>
      </c>
      <c r="B119" t="s">
        <v>19</v>
      </c>
      <c r="C119" t="s">
        <v>40</v>
      </c>
      <c r="D119" t="s">
        <v>46</v>
      </c>
      <c r="E119" s="9">
        <v>809</v>
      </c>
      <c r="F119">
        <v>10</v>
      </c>
      <c r="G119">
        <v>125</v>
      </c>
      <c r="H119" s="9">
        <v>101125</v>
      </c>
      <c r="I119" s="9">
        <v>2022.5</v>
      </c>
      <c r="J119" s="9">
        <v>99102.5</v>
      </c>
      <c r="K119" s="9">
        <v>97080</v>
      </c>
      <c r="L119" s="9">
        <v>2022.5</v>
      </c>
      <c r="M119" s="10">
        <v>41548</v>
      </c>
      <c r="N119">
        <v>10</v>
      </c>
      <c r="O119" t="s">
        <v>30</v>
      </c>
      <c r="P119" t="s">
        <v>14</v>
      </c>
      <c r="Q119" s="15">
        <f>Table2[[#This Row],[Discounts]]/Table2[[#This Row],[Gross Sales]]</f>
        <v>0.02</v>
      </c>
    </row>
    <row r="120" spans="1:17" x14ac:dyDescent="0.35">
      <c r="A120" t="s">
        <v>9</v>
      </c>
      <c r="B120" t="s">
        <v>20</v>
      </c>
      <c r="C120" t="s">
        <v>40</v>
      </c>
      <c r="D120" t="s">
        <v>46</v>
      </c>
      <c r="E120" s="9">
        <v>2145</v>
      </c>
      <c r="F120">
        <v>10</v>
      </c>
      <c r="G120">
        <v>125</v>
      </c>
      <c r="H120" s="9">
        <v>268125</v>
      </c>
      <c r="I120" s="9">
        <v>5362.5</v>
      </c>
      <c r="J120" s="9">
        <v>262762.5</v>
      </c>
      <c r="K120" s="9">
        <v>257400</v>
      </c>
      <c r="L120" s="9">
        <v>5362.5</v>
      </c>
      <c r="M120" s="10">
        <v>41548</v>
      </c>
      <c r="N120">
        <v>10</v>
      </c>
      <c r="O120" t="s">
        <v>30</v>
      </c>
      <c r="P120" t="s">
        <v>14</v>
      </c>
      <c r="Q120" s="15">
        <f>Table2[[#This Row],[Discounts]]/Table2[[#This Row],[Gross Sales]]</f>
        <v>0.02</v>
      </c>
    </row>
    <row r="121" spans="1:17" x14ac:dyDescent="0.35">
      <c r="A121" t="s">
        <v>11</v>
      </c>
      <c r="B121" t="s">
        <v>18</v>
      </c>
      <c r="C121" t="s">
        <v>40</v>
      </c>
      <c r="D121" t="s">
        <v>46</v>
      </c>
      <c r="E121" s="9">
        <v>1785</v>
      </c>
      <c r="F121">
        <v>10</v>
      </c>
      <c r="G121">
        <v>12</v>
      </c>
      <c r="H121" s="9">
        <v>21420</v>
      </c>
      <c r="I121" s="9">
        <v>428.4</v>
      </c>
      <c r="J121" s="9">
        <v>20991.599999999999</v>
      </c>
      <c r="K121" s="9">
        <v>5355</v>
      </c>
      <c r="L121" s="9">
        <v>15636.599999999999</v>
      </c>
      <c r="M121" s="10">
        <v>41579</v>
      </c>
      <c r="N121">
        <v>11</v>
      </c>
      <c r="O121" t="s">
        <v>31</v>
      </c>
      <c r="P121" t="s">
        <v>14</v>
      </c>
      <c r="Q121" s="15">
        <f>Table2[[#This Row],[Discounts]]/Table2[[#This Row],[Gross Sales]]</f>
        <v>0.02</v>
      </c>
    </row>
    <row r="122" spans="1:17" x14ac:dyDescent="0.35">
      <c r="A122" t="s">
        <v>7</v>
      </c>
      <c r="B122" t="s">
        <v>16</v>
      </c>
      <c r="C122" t="s">
        <v>40</v>
      </c>
      <c r="D122" t="s">
        <v>46</v>
      </c>
      <c r="E122" s="9">
        <v>1916</v>
      </c>
      <c r="F122">
        <v>10</v>
      </c>
      <c r="G122">
        <v>300</v>
      </c>
      <c r="H122" s="9">
        <v>574800</v>
      </c>
      <c r="I122" s="9">
        <v>11496</v>
      </c>
      <c r="J122" s="9">
        <v>563304</v>
      </c>
      <c r="K122" s="9">
        <v>479000</v>
      </c>
      <c r="L122" s="9">
        <v>84304</v>
      </c>
      <c r="M122" s="10">
        <v>41974</v>
      </c>
      <c r="N122">
        <v>12</v>
      </c>
      <c r="O122" t="s">
        <v>32</v>
      </c>
      <c r="P122" t="s">
        <v>15</v>
      </c>
      <c r="Q122" s="15">
        <f>Table2[[#This Row],[Discounts]]/Table2[[#This Row],[Gross Sales]]</f>
        <v>0.02</v>
      </c>
    </row>
    <row r="123" spans="1:17" x14ac:dyDescent="0.35">
      <c r="A123" t="s">
        <v>10</v>
      </c>
      <c r="B123" t="s">
        <v>16</v>
      </c>
      <c r="C123" t="s">
        <v>40</v>
      </c>
      <c r="D123" t="s">
        <v>46</v>
      </c>
      <c r="E123" s="9">
        <v>2852</v>
      </c>
      <c r="F123">
        <v>10</v>
      </c>
      <c r="G123">
        <v>350</v>
      </c>
      <c r="H123" s="9">
        <v>998200</v>
      </c>
      <c r="I123" s="9">
        <v>19964</v>
      </c>
      <c r="J123" s="9">
        <v>978236</v>
      </c>
      <c r="K123" s="9">
        <v>741520</v>
      </c>
      <c r="L123" s="9">
        <v>236716</v>
      </c>
      <c r="M123" s="10">
        <v>41974</v>
      </c>
      <c r="N123">
        <v>12</v>
      </c>
      <c r="O123" t="s">
        <v>32</v>
      </c>
      <c r="P123" t="s">
        <v>15</v>
      </c>
      <c r="Q123" s="15">
        <f>Table2[[#This Row],[Discounts]]/Table2[[#This Row],[Gross Sales]]</f>
        <v>0.02</v>
      </c>
    </row>
    <row r="124" spans="1:17" x14ac:dyDescent="0.35">
      <c r="A124" t="s">
        <v>9</v>
      </c>
      <c r="B124" t="s">
        <v>16</v>
      </c>
      <c r="C124" t="s">
        <v>40</v>
      </c>
      <c r="D124" t="s">
        <v>46</v>
      </c>
      <c r="E124" s="9">
        <v>2729</v>
      </c>
      <c r="F124">
        <v>10</v>
      </c>
      <c r="G124">
        <v>125</v>
      </c>
      <c r="H124" s="9">
        <v>341125</v>
      </c>
      <c r="I124" s="9">
        <v>6822.5</v>
      </c>
      <c r="J124" s="9">
        <v>334302.5</v>
      </c>
      <c r="K124" s="9">
        <v>327480</v>
      </c>
      <c r="L124" s="9">
        <v>6822.5</v>
      </c>
      <c r="M124" s="10">
        <v>41974</v>
      </c>
      <c r="N124">
        <v>12</v>
      </c>
      <c r="O124" t="s">
        <v>32</v>
      </c>
      <c r="P124" t="s">
        <v>15</v>
      </c>
      <c r="Q124" s="15">
        <f>Table2[[#This Row],[Discounts]]/Table2[[#This Row],[Gross Sales]]</f>
        <v>0.02</v>
      </c>
    </row>
    <row r="125" spans="1:17" x14ac:dyDescent="0.35">
      <c r="A125" t="s">
        <v>8</v>
      </c>
      <c r="B125" t="s">
        <v>92</v>
      </c>
      <c r="C125" t="s">
        <v>40</v>
      </c>
      <c r="D125" t="s">
        <v>46</v>
      </c>
      <c r="E125" s="9">
        <v>1925</v>
      </c>
      <c r="F125">
        <v>10</v>
      </c>
      <c r="G125">
        <v>15</v>
      </c>
      <c r="H125" s="9">
        <v>28875</v>
      </c>
      <c r="I125" s="9">
        <v>577.5</v>
      </c>
      <c r="J125" s="9">
        <v>28297.5</v>
      </c>
      <c r="K125" s="9">
        <v>19250</v>
      </c>
      <c r="L125" s="9">
        <v>9047.5</v>
      </c>
      <c r="M125" s="10">
        <v>41609</v>
      </c>
      <c r="N125">
        <v>12</v>
      </c>
      <c r="O125" t="s">
        <v>32</v>
      </c>
      <c r="P125" t="s">
        <v>14</v>
      </c>
      <c r="Q125" s="15">
        <f>Table2[[#This Row],[Discounts]]/Table2[[#This Row],[Gross Sales]]</f>
        <v>0.02</v>
      </c>
    </row>
    <row r="126" spans="1:17" x14ac:dyDescent="0.35">
      <c r="A126" t="s">
        <v>10</v>
      </c>
      <c r="B126" t="s">
        <v>92</v>
      </c>
      <c r="C126" t="s">
        <v>40</v>
      </c>
      <c r="D126" t="s">
        <v>46</v>
      </c>
      <c r="E126" s="9">
        <v>2013</v>
      </c>
      <c r="F126">
        <v>10</v>
      </c>
      <c r="G126">
        <v>7</v>
      </c>
      <c r="H126" s="9">
        <v>14091</v>
      </c>
      <c r="I126" s="9">
        <v>281.82</v>
      </c>
      <c r="J126" s="9">
        <v>13809.18</v>
      </c>
      <c r="K126" s="9">
        <v>10065</v>
      </c>
      <c r="L126" s="9">
        <v>3744.1800000000003</v>
      </c>
      <c r="M126" s="10">
        <v>41609</v>
      </c>
      <c r="N126">
        <v>12</v>
      </c>
      <c r="O126" t="s">
        <v>32</v>
      </c>
      <c r="P126" t="s">
        <v>14</v>
      </c>
      <c r="Q126" s="15">
        <f>Table2[[#This Row],[Discounts]]/Table2[[#This Row],[Gross Sales]]</f>
        <v>0.02</v>
      </c>
    </row>
    <row r="127" spans="1:17" x14ac:dyDescent="0.35">
      <c r="A127" t="s">
        <v>11</v>
      </c>
      <c r="B127" t="s">
        <v>18</v>
      </c>
      <c r="C127" t="s">
        <v>40</v>
      </c>
      <c r="D127" t="s">
        <v>46</v>
      </c>
      <c r="E127" s="9">
        <v>1055</v>
      </c>
      <c r="F127">
        <v>10</v>
      </c>
      <c r="G127">
        <v>12</v>
      </c>
      <c r="H127" s="9">
        <v>12660</v>
      </c>
      <c r="I127" s="9">
        <v>253.2</v>
      </c>
      <c r="J127" s="9">
        <v>12406.8</v>
      </c>
      <c r="K127" s="9">
        <v>3165</v>
      </c>
      <c r="L127" s="9">
        <v>9241.7999999999993</v>
      </c>
      <c r="M127" s="10">
        <v>41974</v>
      </c>
      <c r="N127">
        <v>12</v>
      </c>
      <c r="O127" t="s">
        <v>32</v>
      </c>
      <c r="P127" t="s">
        <v>15</v>
      </c>
      <c r="Q127" s="15">
        <f>Table2[[#This Row],[Discounts]]/Table2[[#This Row],[Gross Sales]]</f>
        <v>0.02</v>
      </c>
    </row>
    <row r="128" spans="1:17" x14ac:dyDescent="0.35">
      <c r="A128" t="s">
        <v>11</v>
      </c>
      <c r="B128" t="s">
        <v>20</v>
      </c>
      <c r="C128" t="s">
        <v>40</v>
      </c>
      <c r="D128" t="s">
        <v>46</v>
      </c>
      <c r="E128" s="9">
        <v>1084</v>
      </c>
      <c r="F128">
        <v>10</v>
      </c>
      <c r="G128">
        <v>12</v>
      </c>
      <c r="H128" s="9">
        <v>13008</v>
      </c>
      <c r="I128" s="9">
        <v>260.16000000000003</v>
      </c>
      <c r="J128" s="9">
        <v>12747.84</v>
      </c>
      <c r="K128" s="9">
        <v>3252</v>
      </c>
      <c r="L128" s="9">
        <v>9495.84</v>
      </c>
      <c r="M128" s="10">
        <v>41974</v>
      </c>
      <c r="N128">
        <v>12</v>
      </c>
      <c r="O128" t="s">
        <v>32</v>
      </c>
      <c r="P128" t="s">
        <v>15</v>
      </c>
      <c r="Q128" s="15">
        <f>Table2[[#This Row],[Discounts]]/Table2[[#This Row],[Gross Sales]]</f>
        <v>0.02</v>
      </c>
    </row>
    <row r="129" spans="1:17" x14ac:dyDescent="0.35">
      <c r="A129" t="s">
        <v>10</v>
      </c>
      <c r="B129" t="s">
        <v>92</v>
      </c>
      <c r="C129" t="s">
        <v>41</v>
      </c>
      <c r="D129" t="s">
        <v>46</v>
      </c>
      <c r="E129" s="9">
        <v>1566</v>
      </c>
      <c r="F129">
        <v>120</v>
      </c>
      <c r="G129">
        <v>20</v>
      </c>
      <c r="H129" s="9">
        <v>31320</v>
      </c>
      <c r="I129" s="9">
        <v>626.4</v>
      </c>
      <c r="J129" s="9">
        <v>30693.599999999999</v>
      </c>
      <c r="K129" s="9">
        <v>15660</v>
      </c>
      <c r="L129" s="9">
        <v>15033.599999999999</v>
      </c>
      <c r="M129" s="10">
        <v>41913</v>
      </c>
      <c r="N129">
        <v>10</v>
      </c>
      <c r="O129" t="s">
        <v>30</v>
      </c>
      <c r="P129" t="s">
        <v>15</v>
      </c>
      <c r="Q129" s="15">
        <f>Table2[[#This Row],[Discounts]]/Table2[[#This Row],[Gross Sales]]</f>
        <v>0.02</v>
      </c>
    </row>
    <row r="130" spans="1:17" x14ac:dyDescent="0.35">
      <c r="A130" t="s">
        <v>10</v>
      </c>
      <c r="B130" t="s">
        <v>19</v>
      </c>
      <c r="C130" t="s">
        <v>41</v>
      </c>
      <c r="D130" t="s">
        <v>46</v>
      </c>
      <c r="E130" s="9">
        <v>2966</v>
      </c>
      <c r="F130">
        <v>120</v>
      </c>
      <c r="G130">
        <v>350</v>
      </c>
      <c r="H130" s="9">
        <v>1038100</v>
      </c>
      <c r="I130" s="9">
        <v>20762</v>
      </c>
      <c r="J130" s="9">
        <v>1017338</v>
      </c>
      <c r="K130" s="9">
        <v>771160</v>
      </c>
      <c r="L130" s="9">
        <v>246178</v>
      </c>
      <c r="M130" s="10">
        <v>41548</v>
      </c>
      <c r="N130">
        <v>10</v>
      </c>
      <c r="O130" t="s">
        <v>30</v>
      </c>
      <c r="P130" t="s">
        <v>14</v>
      </c>
      <c r="Q130" s="15">
        <f>Table2[[#This Row],[Discounts]]/Table2[[#This Row],[Gross Sales]]</f>
        <v>0.02</v>
      </c>
    </row>
    <row r="131" spans="1:17" x14ac:dyDescent="0.35">
      <c r="A131" t="s">
        <v>10</v>
      </c>
      <c r="B131" t="s">
        <v>19</v>
      </c>
      <c r="C131" t="s">
        <v>41</v>
      </c>
      <c r="D131" t="s">
        <v>46</v>
      </c>
      <c r="E131" s="9">
        <v>2877</v>
      </c>
      <c r="F131">
        <v>120</v>
      </c>
      <c r="G131">
        <v>350</v>
      </c>
      <c r="H131" s="9">
        <v>1006950</v>
      </c>
      <c r="I131" s="9">
        <v>20139</v>
      </c>
      <c r="J131" s="9">
        <v>986811</v>
      </c>
      <c r="K131" s="9">
        <v>748020</v>
      </c>
      <c r="L131" s="9">
        <v>238791</v>
      </c>
      <c r="M131" s="10">
        <v>41913</v>
      </c>
      <c r="N131">
        <v>10</v>
      </c>
      <c r="O131" t="s">
        <v>30</v>
      </c>
      <c r="P131" t="s">
        <v>15</v>
      </c>
      <c r="Q131" s="15">
        <f>Table2[[#This Row],[Discounts]]/Table2[[#This Row],[Gross Sales]]</f>
        <v>0.02</v>
      </c>
    </row>
    <row r="132" spans="1:17" x14ac:dyDescent="0.35">
      <c r="A132" t="s">
        <v>9</v>
      </c>
      <c r="B132" t="s">
        <v>19</v>
      </c>
      <c r="C132" t="s">
        <v>41</v>
      </c>
      <c r="D132" t="s">
        <v>46</v>
      </c>
      <c r="E132" s="9">
        <v>809</v>
      </c>
      <c r="F132">
        <v>120</v>
      </c>
      <c r="G132">
        <v>125</v>
      </c>
      <c r="H132" s="9">
        <v>101125</v>
      </c>
      <c r="I132" s="9">
        <v>2022.5</v>
      </c>
      <c r="J132" s="9">
        <v>99102.5</v>
      </c>
      <c r="K132" s="9">
        <v>97080</v>
      </c>
      <c r="L132" s="9">
        <v>2022.5</v>
      </c>
      <c r="M132" s="10">
        <v>41548</v>
      </c>
      <c r="N132">
        <v>10</v>
      </c>
      <c r="O132" t="s">
        <v>30</v>
      </c>
      <c r="P132" t="s">
        <v>14</v>
      </c>
      <c r="Q132" s="15">
        <f>Table2[[#This Row],[Discounts]]/Table2[[#This Row],[Gross Sales]]</f>
        <v>0.02</v>
      </c>
    </row>
    <row r="133" spans="1:17" x14ac:dyDescent="0.35">
      <c r="A133" t="s">
        <v>9</v>
      </c>
      <c r="B133" t="s">
        <v>20</v>
      </c>
      <c r="C133" t="s">
        <v>41</v>
      </c>
      <c r="D133" t="s">
        <v>46</v>
      </c>
      <c r="E133" s="9">
        <v>2145</v>
      </c>
      <c r="F133">
        <v>120</v>
      </c>
      <c r="G133">
        <v>125</v>
      </c>
      <c r="H133" s="9">
        <v>268125</v>
      </c>
      <c r="I133" s="9">
        <v>5362.5</v>
      </c>
      <c r="J133" s="9">
        <v>262762.5</v>
      </c>
      <c r="K133" s="9">
        <v>257400</v>
      </c>
      <c r="L133" s="9">
        <v>5362.5</v>
      </c>
      <c r="M133" s="10">
        <v>41548</v>
      </c>
      <c r="N133">
        <v>10</v>
      </c>
      <c r="O133" t="s">
        <v>30</v>
      </c>
      <c r="P133" t="s">
        <v>14</v>
      </c>
      <c r="Q133" s="15">
        <f>Table2[[#This Row],[Discounts]]/Table2[[#This Row],[Gross Sales]]</f>
        <v>0.02</v>
      </c>
    </row>
    <row r="134" spans="1:17" x14ac:dyDescent="0.35">
      <c r="A134" t="s">
        <v>11</v>
      </c>
      <c r="B134" t="s">
        <v>18</v>
      </c>
      <c r="C134" t="s">
        <v>41</v>
      </c>
      <c r="D134" t="s">
        <v>46</v>
      </c>
      <c r="E134" s="9">
        <v>1055</v>
      </c>
      <c r="F134">
        <v>120</v>
      </c>
      <c r="G134">
        <v>12</v>
      </c>
      <c r="H134" s="9">
        <v>12660</v>
      </c>
      <c r="I134" s="9">
        <v>253.2</v>
      </c>
      <c r="J134" s="9">
        <v>12406.8</v>
      </c>
      <c r="K134" s="9">
        <v>3165</v>
      </c>
      <c r="L134" s="9">
        <v>9241.7999999999993</v>
      </c>
      <c r="M134" s="10">
        <v>41974</v>
      </c>
      <c r="N134">
        <v>12</v>
      </c>
      <c r="O134" t="s">
        <v>32</v>
      </c>
      <c r="P134" t="s">
        <v>15</v>
      </c>
      <c r="Q134" s="15">
        <f>Table2[[#This Row],[Discounts]]/Table2[[#This Row],[Gross Sales]]</f>
        <v>0.02</v>
      </c>
    </row>
    <row r="135" spans="1:17" x14ac:dyDescent="0.35">
      <c r="A135" t="s">
        <v>10</v>
      </c>
      <c r="B135" t="s">
        <v>20</v>
      </c>
      <c r="C135" t="s">
        <v>41</v>
      </c>
      <c r="D135" t="s">
        <v>46</v>
      </c>
      <c r="E135" s="9">
        <v>544</v>
      </c>
      <c r="F135">
        <v>120</v>
      </c>
      <c r="G135">
        <v>20</v>
      </c>
      <c r="H135" s="9">
        <v>10880</v>
      </c>
      <c r="I135" s="9">
        <v>217.6</v>
      </c>
      <c r="J135" s="9">
        <v>10662.4</v>
      </c>
      <c r="K135" s="9">
        <v>5440</v>
      </c>
      <c r="L135" s="9">
        <v>5222.3999999999996</v>
      </c>
      <c r="M135" s="10">
        <v>41609</v>
      </c>
      <c r="N135">
        <v>12</v>
      </c>
      <c r="O135" t="s">
        <v>32</v>
      </c>
      <c r="P135" t="s">
        <v>14</v>
      </c>
      <c r="Q135" s="15">
        <f>Table2[[#This Row],[Discounts]]/Table2[[#This Row],[Gross Sales]]</f>
        <v>0.02</v>
      </c>
    </row>
    <row r="136" spans="1:17" x14ac:dyDescent="0.35">
      <c r="A136" t="s">
        <v>11</v>
      </c>
      <c r="B136" t="s">
        <v>20</v>
      </c>
      <c r="C136" t="s">
        <v>41</v>
      </c>
      <c r="D136" t="s">
        <v>46</v>
      </c>
      <c r="E136" s="9">
        <v>1084</v>
      </c>
      <c r="F136">
        <v>120</v>
      </c>
      <c r="G136">
        <v>12</v>
      </c>
      <c r="H136" s="9">
        <v>13008</v>
      </c>
      <c r="I136" s="9">
        <v>260.16000000000003</v>
      </c>
      <c r="J136" s="9">
        <v>12747.84</v>
      </c>
      <c r="K136" s="9">
        <v>3252</v>
      </c>
      <c r="L136" s="9">
        <v>9495.84</v>
      </c>
      <c r="M136" s="10">
        <v>41974</v>
      </c>
      <c r="N136">
        <v>12</v>
      </c>
      <c r="O136" t="s">
        <v>32</v>
      </c>
      <c r="P136" t="s">
        <v>15</v>
      </c>
      <c r="Q136" s="15">
        <f>Table2[[#This Row],[Discounts]]/Table2[[#This Row],[Gross Sales]]</f>
        <v>0.02</v>
      </c>
    </row>
    <row r="137" spans="1:17" x14ac:dyDescent="0.35">
      <c r="A137" t="s">
        <v>9</v>
      </c>
      <c r="B137" t="s">
        <v>20</v>
      </c>
      <c r="C137" t="s">
        <v>42</v>
      </c>
      <c r="D137" t="s">
        <v>46</v>
      </c>
      <c r="E137" s="9">
        <v>662</v>
      </c>
      <c r="F137">
        <v>250</v>
      </c>
      <c r="G137">
        <v>125</v>
      </c>
      <c r="H137" s="9">
        <v>82750</v>
      </c>
      <c r="I137" s="9">
        <v>1655</v>
      </c>
      <c r="J137" s="9">
        <v>81095</v>
      </c>
      <c r="K137" s="9">
        <v>79440</v>
      </c>
      <c r="L137" s="9">
        <v>1655</v>
      </c>
      <c r="M137" s="10">
        <v>41791</v>
      </c>
      <c r="N137">
        <v>6</v>
      </c>
      <c r="O137" t="s">
        <v>26</v>
      </c>
      <c r="P137" t="s">
        <v>15</v>
      </c>
      <c r="Q137" s="15">
        <f>Table2[[#This Row],[Discounts]]/Table2[[#This Row],[Gross Sales]]</f>
        <v>0.02</v>
      </c>
    </row>
    <row r="138" spans="1:17" x14ac:dyDescent="0.35">
      <c r="A138" t="s">
        <v>7</v>
      </c>
      <c r="B138" t="s">
        <v>19</v>
      </c>
      <c r="C138" t="s">
        <v>42</v>
      </c>
      <c r="D138" t="s">
        <v>46</v>
      </c>
      <c r="E138" s="9">
        <v>214</v>
      </c>
      <c r="F138">
        <v>250</v>
      </c>
      <c r="G138">
        <v>300</v>
      </c>
      <c r="H138" s="9">
        <v>64200</v>
      </c>
      <c r="I138" s="9">
        <v>1284</v>
      </c>
      <c r="J138" s="9">
        <v>62916</v>
      </c>
      <c r="K138" s="9">
        <v>53500</v>
      </c>
      <c r="L138" s="9">
        <v>9416</v>
      </c>
      <c r="M138" s="10">
        <v>41548</v>
      </c>
      <c r="N138">
        <v>10</v>
      </c>
      <c r="O138" t="s">
        <v>30</v>
      </c>
      <c r="P138" t="s">
        <v>14</v>
      </c>
      <c r="Q138" s="15">
        <f>Table2[[#This Row],[Discounts]]/Table2[[#This Row],[Gross Sales]]</f>
        <v>0.02</v>
      </c>
    </row>
    <row r="139" spans="1:17" x14ac:dyDescent="0.35">
      <c r="A139" t="s">
        <v>10</v>
      </c>
      <c r="B139" t="s">
        <v>19</v>
      </c>
      <c r="C139" t="s">
        <v>42</v>
      </c>
      <c r="D139" t="s">
        <v>46</v>
      </c>
      <c r="E139" s="9">
        <v>2877</v>
      </c>
      <c r="F139">
        <v>250</v>
      </c>
      <c r="G139">
        <v>350</v>
      </c>
      <c r="H139" s="9">
        <v>1006950</v>
      </c>
      <c r="I139" s="9">
        <v>20139</v>
      </c>
      <c r="J139" s="9">
        <v>986811</v>
      </c>
      <c r="K139" s="9">
        <v>748020</v>
      </c>
      <c r="L139" s="9">
        <v>238791</v>
      </c>
      <c r="M139" s="10">
        <v>41913</v>
      </c>
      <c r="N139">
        <v>10</v>
      </c>
      <c r="O139" t="s">
        <v>30</v>
      </c>
      <c r="P139" t="s">
        <v>15</v>
      </c>
      <c r="Q139" s="15">
        <f>Table2[[#This Row],[Discounts]]/Table2[[#This Row],[Gross Sales]]</f>
        <v>0.02</v>
      </c>
    </row>
    <row r="140" spans="1:17" x14ac:dyDescent="0.35">
      <c r="A140" t="s">
        <v>9</v>
      </c>
      <c r="B140" t="s">
        <v>16</v>
      </c>
      <c r="C140" t="s">
        <v>42</v>
      </c>
      <c r="D140" t="s">
        <v>46</v>
      </c>
      <c r="E140" s="9">
        <v>2729</v>
      </c>
      <c r="F140">
        <v>250</v>
      </c>
      <c r="G140">
        <v>125</v>
      </c>
      <c r="H140" s="9">
        <v>341125</v>
      </c>
      <c r="I140" s="9">
        <v>6822.5</v>
      </c>
      <c r="J140" s="9">
        <v>334302.5</v>
      </c>
      <c r="K140" s="9">
        <v>327480</v>
      </c>
      <c r="L140" s="9">
        <v>6822.5</v>
      </c>
      <c r="M140" s="10">
        <v>41974</v>
      </c>
      <c r="N140">
        <v>12</v>
      </c>
      <c r="O140" t="s">
        <v>32</v>
      </c>
      <c r="P140" t="s">
        <v>15</v>
      </c>
      <c r="Q140" s="15">
        <f>Table2[[#This Row],[Discounts]]/Table2[[#This Row],[Gross Sales]]</f>
        <v>0.02</v>
      </c>
    </row>
    <row r="141" spans="1:17" x14ac:dyDescent="0.35">
      <c r="A141" t="s">
        <v>10</v>
      </c>
      <c r="B141" t="s">
        <v>92</v>
      </c>
      <c r="C141" t="s">
        <v>42</v>
      </c>
      <c r="D141" t="s">
        <v>46</v>
      </c>
      <c r="E141" s="9">
        <v>266</v>
      </c>
      <c r="F141">
        <v>250</v>
      </c>
      <c r="G141">
        <v>350</v>
      </c>
      <c r="H141" s="9">
        <v>93100</v>
      </c>
      <c r="I141" s="9">
        <v>1862</v>
      </c>
      <c r="J141" s="9">
        <v>91238</v>
      </c>
      <c r="K141" s="9">
        <v>69160</v>
      </c>
      <c r="L141" s="9">
        <v>22078</v>
      </c>
      <c r="M141" s="10">
        <v>41609</v>
      </c>
      <c r="N141">
        <v>12</v>
      </c>
      <c r="O141" t="s">
        <v>32</v>
      </c>
      <c r="P141" t="s">
        <v>14</v>
      </c>
      <c r="Q141" s="15">
        <f>Table2[[#This Row],[Discounts]]/Table2[[#This Row],[Gross Sales]]</f>
        <v>0.02</v>
      </c>
    </row>
    <row r="142" spans="1:17" x14ac:dyDescent="0.35">
      <c r="A142" t="s">
        <v>10</v>
      </c>
      <c r="B142" t="s">
        <v>20</v>
      </c>
      <c r="C142" t="s">
        <v>42</v>
      </c>
      <c r="D142" t="s">
        <v>46</v>
      </c>
      <c r="E142" s="9">
        <v>1940</v>
      </c>
      <c r="F142">
        <v>250</v>
      </c>
      <c r="G142">
        <v>350</v>
      </c>
      <c r="H142" s="9">
        <v>679000</v>
      </c>
      <c r="I142" s="9">
        <v>13580</v>
      </c>
      <c r="J142" s="9">
        <v>665420</v>
      </c>
      <c r="K142" s="9">
        <v>504400</v>
      </c>
      <c r="L142" s="9">
        <v>161020</v>
      </c>
      <c r="M142" s="10">
        <v>41609</v>
      </c>
      <c r="N142">
        <v>12</v>
      </c>
      <c r="O142" t="s">
        <v>32</v>
      </c>
      <c r="P142" t="s">
        <v>14</v>
      </c>
      <c r="Q142" s="15">
        <f>Table2[[#This Row],[Discounts]]/Table2[[#This Row],[Gross Sales]]</f>
        <v>0.02</v>
      </c>
    </row>
    <row r="143" spans="1:17" x14ac:dyDescent="0.35">
      <c r="A143" t="s">
        <v>7</v>
      </c>
      <c r="B143" t="s">
        <v>19</v>
      </c>
      <c r="C143" t="s">
        <v>43</v>
      </c>
      <c r="D143" t="s">
        <v>46</v>
      </c>
      <c r="E143" s="9">
        <v>259</v>
      </c>
      <c r="F143">
        <v>260</v>
      </c>
      <c r="G143">
        <v>300</v>
      </c>
      <c r="H143" s="9">
        <v>77700</v>
      </c>
      <c r="I143" s="9">
        <v>1554</v>
      </c>
      <c r="J143" s="9">
        <v>76146</v>
      </c>
      <c r="K143" s="9">
        <v>64750</v>
      </c>
      <c r="L143" s="9">
        <v>11396</v>
      </c>
      <c r="M143" s="10">
        <v>41699</v>
      </c>
      <c r="N143">
        <v>3</v>
      </c>
      <c r="O143" t="s">
        <v>23</v>
      </c>
      <c r="P143" t="s">
        <v>15</v>
      </c>
      <c r="Q143" s="15">
        <f>Table2[[#This Row],[Discounts]]/Table2[[#This Row],[Gross Sales]]</f>
        <v>0.02</v>
      </c>
    </row>
    <row r="144" spans="1:17" x14ac:dyDescent="0.35">
      <c r="A144" t="s">
        <v>7</v>
      </c>
      <c r="B144" t="s">
        <v>20</v>
      </c>
      <c r="C144" t="s">
        <v>43</v>
      </c>
      <c r="D144" t="s">
        <v>46</v>
      </c>
      <c r="E144" s="9">
        <v>1101</v>
      </c>
      <c r="F144">
        <v>260</v>
      </c>
      <c r="G144">
        <v>300</v>
      </c>
      <c r="H144" s="9">
        <v>330300</v>
      </c>
      <c r="I144" s="9">
        <v>6606</v>
      </c>
      <c r="J144" s="9">
        <v>323694</v>
      </c>
      <c r="K144" s="9">
        <v>275250</v>
      </c>
      <c r="L144" s="9">
        <v>48444</v>
      </c>
      <c r="M144" s="10">
        <v>41699</v>
      </c>
      <c r="N144">
        <v>3</v>
      </c>
      <c r="O144" t="s">
        <v>23</v>
      </c>
      <c r="P144" t="s">
        <v>15</v>
      </c>
      <c r="Q144" s="15">
        <f>Table2[[#This Row],[Discounts]]/Table2[[#This Row],[Gross Sales]]</f>
        <v>0.02</v>
      </c>
    </row>
    <row r="145" spans="1:17" x14ac:dyDescent="0.35">
      <c r="A145" t="s">
        <v>9</v>
      </c>
      <c r="B145" t="s">
        <v>19</v>
      </c>
      <c r="C145" t="s">
        <v>43</v>
      </c>
      <c r="D145" t="s">
        <v>46</v>
      </c>
      <c r="E145" s="9">
        <v>2276</v>
      </c>
      <c r="F145">
        <v>260</v>
      </c>
      <c r="G145">
        <v>125</v>
      </c>
      <c r="H145" s="9">
        <v>284500</v>
      </c>
      <c r="I145" s="9">
        <v>5690</v>
      </c>
      <c r="J145" s="9">
        <v>278810</v>
      </c>
      <c r="K145" s="9">
        <v>273120</v>
      </c>
      <c r="L145" s="9">
        <v>5690</v>
      </c>
      <c r="M145" s="10">
        <v>41760</v>
      </c>
      <c r="N145">
        <v>5</v>
      </c>
      <c r="O145" t="s">
        <v>25</v>
      </c>
      <c r="P145" t="s">
        <v>15</v>
      </c>
      <c r="Q145" s="15">
        <f>Table2[[#This Row],[Discounts]]/Table2[[#This Row],[Gross Sales]]</f>
        <v>0.02</v>
      </c>
    </row>
    <row r="146" spans="1:17" x14ac:dyDescent="0.35">
      <c r="A146" t="s">
        <v>10</v>
      </c>
      <c r="B146" t="s">
        <v>19</v>
      </c>
      <c r="C146" t="s">
        <v>43</v>
      </c>
      <c r="D146" t="s">
        <v>46</v>
      </c>
      <c r="E146" s="9">
        <v>2966</v>
      </c>
      <c r="F146">
        <v>260</v>
      </c>
      <c r="G146">
        <v>350</v>
      </c>
      <c r="H146" s="9">
        <v>1038100</v>
      </c>
      <c r="I146" s="9">
        <v>20762</v>
      </c>
      <c r="J146" s="9">
        <v>1017338</v>
      </c>
      <c r="K146" s="9">
        <v>771160</v>
      </c>
      <c r="L146" s="9">
        <v>246178</v>
      </c>
      <c r="M146" s="10">
        <v>41548</v>
      </c>
      <c r="N146">
        <v>10</v>
      </c>
      <c r="O146" t="s">
        <v>30</v>
      </c>
      <c r="P146" t="s">
        <v>14</v>
      </c>
      <c r="Q146" s="15">
        <f>Table2[[#This Row],[Discounts]]/Table2[[#This Row],[Gross Sales]]</f>
        <v>0.02</v>
      </c>
    </row>
    <row r="147" spans="1:17" x14ac:dyDescent="0.35">
      <c r="A147" t="s">
        <v>10</v>
      </c>
      <c r="B147" t="s">
        <v>92</v>
      </c>
      <c r="C147" t="s">
        <v>43</v>
      </c>
      <c r="D147" t="s">
        <v>46</v>
      </c>
      <c r="E147" s="9">
        <v>1236</v>
      </c>
      <c r="F147">
        <v>260</v>
      </c>
      <c r="G147">
        <v>20</v>
      </c>
      <c r="H147" s="9">
        <v>24720</v>
      </c>
      <c r="I147" s="9">
        <v>494.4</v>
      </c>
      <c r="J147" s="9">
        <v>24225.599999999999</v>
      </c>
      <c r="K147" s="9">
        <v>12360</v>
      </c>
      <c r="L147" s="9">
        <v>11865.599999999999</v>
      </c>
      <c r="M147" s="10">
        <v>41944</v>
      </c>
      <c r="N147">
        <v>11</v>
      </c>
      <c r="O147" t="s">
        <v>31</v>
      </c>
      <c r="P147" t="s">
        <v>15</v>
      </c>
      <c r="Q147" s="15">
        <f>Table2[[#This Row],[Discounts]]/Table2[[#This Row],[Gross Sales]]</f>
        <v>0.02</v>
      </c>
    </row>
    <row r="148" spans="1:17" x14ac:dyDescent="0.35">
      <c r="A148" t="s">
        <v>10</v>
      </c>
      <c r="B148" t="s">
        <v>18</v>
      </c>
      <c r="C148" t="s">
        <v>43</v>
      </c>
      <c r="D148" t="s">
        <v>46</v>
      </c>
      <c r="E148" s="9">
        <v>941</v>
      </c>
      <c r="F148">
        <v>260</v>
      </c>
      <c r="G148">
        <v>20</v>
      </c>
      <c r="H148" s="9">
        <v>18820</v>
      </c>
      <c r="I148" s="9">
        <v>376.4</v>
      </c>
      <c r="J148" s="9">
        <v>18443.599999999999</v>
      </c>
      <c r="K148" s="9">
        <v>9410</v>
      </c>
      <c r="L148" s="9">
        <v>9033.5999999999985</v>
      </c>
      <c r="M148" s="10">
        <v>41944</v>
      </c>
      <c r="N148">
        <v>11</v>
      </c>
      <c r="O148" t="s">
        <v>31</v>
      </c>
      <c r="P148" t="s">
        <v>15</v>
      </c>
      <c r="Q148" s="15">
        <f>Table2[[#This Row],[Discounts]]/Table2[[#This Row],[Gross Sales]]</f>
        <v>0.02</v>
      </c>
    </row>
    <row r="149" spans="1:17" x14ac:dyDescent="0.35">
      <c r="A149" t="s">
        <v>7</v>
      </c>
      <c r="B149" t="s">
        <v>16</v>
      </c>
      <c r="C149" t="s">
        <v>43</v>
      </c>
      <c r="D149" t="s">
        <v>46</v>
      </c>
      <c r="E149" s="9">
        <v>1916</v>
      </c>
      <c r="F149">
        <v>260</v>
      </c>
      <c r="G149">
        <v>300</v>
      </c>
      <c r="H149" s="9">
        <v>574800</v>
      </c>
      <c r="I149" s="9">
        <v>11496</v>
      </c>
      <c r="J149" s="9">
        <v>563304</v>
      </c>
      <c r="K149" s="9">
        <v>479000</v>
      </c>
      <c r="L149" s="9">
        <v>84304</v>
      </c>
      <c r="M149" s="10">
        <v>41974</v>
      </c>
      <c r="N149">
        <v>12</v>
      </c>
      <c r="O149" t="s">
        <v>32</v>
      </c>
      <c r="P149" t="s">
        <v>15</v>
      </c>
      <c r="Q149" s="15">
        <f>Table2[[#This Row],[Discounts]]/Table2[[#This Row],[Gross Sales]]</f>
        <v>0.02</v>
      </c>
    </row>
    <row r="150" spans="1:17" x14ac:dyDescent="0.35">
      <c r="A150" t="s">
        <v>9</v>
      </c>
      <c r="B150" t="s">
        <v>18</v>
      </c>
      <c r="C150" t="s">
        <v>38</v>
      </c>
      <c r="D150" t="s">
        <v>46</v>
      </c>
      <c r="E150" s="9">
        <v>4243.5</v>
      </c>
      <c r="F150">
        <v>3</v>
      </c>
      <c r="G150">
        <v>125</v>
      </c>
      <c r="H150" s="9">
        <v>530437.5</v>
      </c>
      <c r="I150" s="9">
        <v>15913.125</v>
      </c>
      <c r="J150" s="9">
        <v>514524.375</v>
      </c>
      <c r="K150" s="9">
        <v>509220</v>
      </c>
      <c r="L150" s="9">
        <v>5304.375</v>
      </c>
      <c r="M150" s="10">
        <v>41730</v>
      </c>
      <c r="N150">
        <v>4</v>
      </c>
      <c r="O150" t="s">
        <v>24</v>
      </c>
      <c r="P150" t="s">
        <v>15</v>
      </c>
      <c r="Q150" s="15">
        <f>Table2[[#This Row],[Discounts]]/Table2[[#This Row],[Gross Sales]]</f>
        <v>0.03</v>
      </c>
    </row>
    <row r="151" spans="1:17" x14ac:dyDescent="0.35">
      <c r="A151" t="s">
        <v>10</v>
      </c>
      <c r="B151" t="s">
        <v>19</v>
      </c>
      <c r="C151" t="s">
        <v>38</v>
      </c>
      <c r="D151" t="s">
        <v>46</v>
      </c>
      <c r="E151" s="9">
        <v>2580</v>
      </c>
      <c r="F151">
        <v>3</v>
      </c>
      <c r="G151">
        <v>20</v>
      </c>
      <c r="H151" s="9">
        <v>51600</v>
      </c>
      <c r="I151" s="9">
        <v>1548</v>
      </c>
      <c r="J151" s="9">
        <v>50052</v>
      </c>
      <c r="K151" s="9">
        <v>25800</v>
      </c>
      <c r="L151" s="9">
        <v>24252</v>
      </c>
      <c r="M151" s="10">
        <v>41730</v>
      </c>
      <c r="N151">
        <v>4</v>
      </c>
      <c r="O151" t="s">
        <v>24</v>
      </c>
      <c r="P151" t="s">
        <v>15</v>
      </c>
      <c r="Q151" s="15">
        <f>Table2[[#This Row],[Discounts]]/Table2[[#This Row],[Gross Sales]]</f>
        <v>0.03</v>
      </c>
    </row>
    <row r="152" spans="1:17" x14ac:dyDescent="0.35">
      <c r="A152" t="s">
        <v>7</v>
      </c>
      <c r="B152" t="s">
        <v>19</v>
      </c>
      <c r="C152" t="s">
        <v>38</v>
      </c>
      <c r="D152" t="s">
        <v>46</v>
      </c>
      <c r="E152" s="9">
        <v>689</v>
      </c>
      <c r="F152">
        <v>3</v>
      </c>
      <c r="G152">
        <v>300</v>
      </c>
      <c r="H152" s="9">
        <v>206700</v>
      </c>
      <c r="I152" s="9">
        <v>6201</v>
      </c>
      <c r="J152" s="9">
        <v>200499</v>
      </c>
      <c r="K152" s="9">
        <v>172250</v>
      </c>
      <c r="L152" s="9">
        <v>28249</v>
      </c>
      <c r="M152" s="10">
        <v>41791</v>
      </c>
      <c r="N152">
        <v>6</v>
      </c>
      <c r="O152" t="s">
        <v>26</v>
      </c>
      <c r="P152" t="s">
        <v>15</v>
      </c>
      <c r="Q152" s="15">
        <f>Table2[[#This Row],[Discounts]]/Table2[[#This Row],[Gross Sales]]</f>
        <v>0.03</v>
      </c>
    </row>
    <row r="153" spans="1:17" x14ac:dyDescent="0.35">
      <c r="A153" t="s">
        <v>11</v>
      </c>
      <c r="B153" t="s">
        <v>92</v>
      </c>
      <c r="C153" t="s">
        <v>38</v>
      </c>
      <c r="D153" t="s">
        <v>46</v>
      </c>
      <c r="E153" s="9">
        <v>1947</v>
      </c>
      <c r="F153">
        <v>3</v>
      </c>
      <c r="G153">
        <v>12</v>
      </c>
      <c r="H153" s="9">
        <v>23364</v>
      </c>
      <c r="I153" s="9">
        <v>700.92</v>
      </c>
      <c r="J153" s="9">
        <v>22663.08</v>
      </c>
      <c r="K153" s="9">
        <v>5841</v>
      </c>
      <c r="L153" s="9">
        <v>16822.080000000002</v>
      </c>
      <c r="M153" s="10">
        <v>41883</v>
      </c>
      <c r="N153">
        <v>9</v>
      </c>
      <c r="O153" t="s">
        <v>29</v>
      </c>
      <c r="P153" t="s">
        <v>15</v>
      </c>
      <c r="Q153" s="15">
        <f>Table2[[#This Row],[Discounts]]/Table2[[#This Row],[Gross Sales]]</f>
        <v>0.03</v>
      </c>
    </row>
    <row r="154" spans="1:17" x14ac:dyDescent="0.35">
      <c r="A154" t="s">
        <v>11</v>
      </c>
      <c r="B154" t="s">
        <v>16</v>
      </c>
      <c r="C154" t="s">
        <v>38</v>
      </c>
      <c r="D154" t="s">
        <v>46</v>
      </c>
      <c r="E154" s="9">
        <v>908</v>
      </c>
      <c r="F154">
        <v>3</v>
      </c>
      <c r="G154">
        <v>12</v>
      </c>
      <c r="H154" s="9">
        <v>10896</v>
      </c>
      <c r="I154" s="9">
        <v>326.88</v>
      </c>
      <c r="J154" s="9">
        <v>10569.12</v>
      </c>
      <c r="K154" s="9">
        <v>2724</v>
      </c>
      <c r="L154" s="9">
        <v>7845.1200000000008</v>
      </c>
      <c r="M154" s="10">
        <v>41609</v>
      </c>
      <c r="N154">
        <v>12</v>
      </c>
      <c r="O154" t="s">
        <v>32</v>
      </c>
      <c r="P154" t="s">
        <v>14</v>
      </c>
      <c r="Q154" s="15">
        <f>Table2[[#This Row],[Discounts]]/Table2[[#This Row],[Gross Sales]]</f>
        <v>0.03</v>
      </c>
    </row>
    <row r="155" spans="1:17" x14ac:dyDescent="0.35">
      <c r="A155" t="s">
        <v>10</v>
      </c>
      <c r="B155" t="s">
        <v>19</v>
      </c>
      <c r="C155" t="s">
        <v>39</v>
      </c>
      <c r="D155" t="s">
        <v>46</v>
      </c>
      <c r="E155" s="9">
        <v>1958</v>
      </c>
      <c r="F155">
        <v>5</v>
      </c>
      <c r="G155">
        <v>7</v>
      </c>
      <c r="H155" s="9">
        <v>13706</v>
      </c>
      <c r="I155" s="9">
        <v>411.18</v>
      </c>
      <c r="J155" s="9">
        <v>13294.82</v>
      </c>
      <c r="K155" s="9">
        <v>9790</v>
      </c>
      <c r="L155" s="9">
        <v>3504.8199999999997</v>
      </c>
      <c r="M155" s="10">
        <v>41671</v>
      </c>
      <c r="N155">
        <v>2</v>
      </c>
      <c r="O155" t="s">
        <v>22</v>
      </c>
      <c r="P155" t="s">
        <v>15</v>
      </c>
      <c r="Q155" s="15">
        <f>Table2[[#This Row],[Discounts]]/Table2[[#This Row],[Gross Sales]]</f>
        <v>0.03</v>
      </c>
    </row>
    <row r="156" spans="1:17" x14ac:dyDescent="0.35">
      <c r="A156" t="s">
        <v>11</v>
      </c>
      <c r="B156" t="s">
        <v>18</v>
      </c>
      <c r="C156" t="s">
        <v>39</v>
      </c>
      <c r="D156" t="s">
        <v>46</v>
      </c>
      <c r="E156" s="9">
        <v>1901</v>
      </c>
      <c r="F156">
        <v>5</v>
      </c>
      <c r="G156">
        <v>12</v>
      </c>
      <c r="H156" s="9">
        <v>22812</v>
      </c>
      <c r="I156" s="9">
        <v>684.36</v>
      </c>
      <c r="J156" s="9">
        <v>22127.64</v>
      </c>
      <c r="K156" s="9">
        <v>5703</v>
      </c>
      <c r="L156" s="9">
        <v>16424.64</v>
      </c>
      <c r="M156" s="10">
        <v>41791</v>
      </c>
      <c r="N156">
        <v>6</v>
      </c>
      <c r="O156" t="s">
        <v>26</v>
      </c>
      <c r="P156" t="s">
        <v>15</v>
      </c>
      <c r="Q156" s="15">
        <f>Table2[[#This Row],[Discounts]]/Table2[[#This Row],[Gross Sales]]</f>
        <v>0.03</v>
      </c>
    </row>
    <row r="157" spans="1:17" x14ac:dyDescent="0.35">
      <c r="A157" t="s">
        <v>10</v>
      </c>
      <c r="B157" t="s">
        <v>18</v>
      </c>
      <c r="C157" t="s">
        <v>39</v>
      </c>
      <c r="D157" t="s">
        <v>46</v>
      </c>
      <c r="E157" s="9">
        <v>544</v>
      </c>
      <c r="F157">
        <v>5</v>
      </c>
      <c r="G157">
        <v>7</v>
      </c>
      <c r="H157" s="9">
        <v>3808</v>
      </c>
      <c r="I157" s="9">
        <v>114.24</v>
      </c>
      <c r="J157" s="9">
        <v>3693.76</v>
      </c>
      <c r="K157" s="9">
        <v>2720</v>
      </c>
      <c r="L157" s="9">
        <v>973.76000000000022</v>
      </c>
      <c r="M157" s="10">
        <v>41883</v>
      </c>
      <c r="N157">
        <v>9</v>
      </c>
      <c r="O157" t="s">
        <v>29</v>
      </c>
      <c r="P157" t="s">
        <v>15</v>
      </c>
      <c r="Q157" s="15">
        <f>Table2[[#This Row],[Discounts]]/Table2[[#This Row],[Gross Sales]]</f>
        <v>0.03</v>
      </c>
    </row>
    <row r="158" spans="1:17" x14ac:dyDescent="0.35">
      <c r="A158" t="s">
        <v>10</v>
      </c>
      <c r="B158" t="s">
        <v>19</v>
      </c>
      <c r="C158" t="s">
        <v>39</v>
      </c>
      <c r="D158" t="s">
        <v>46</v>
      </c>
      <c r="E158" s="9">
        <v>1797</v>
      </c>
      <c r="F158">
        <v>5</v>
      </c>
      <c r="G158">
        <v>350</v>
      </c>
      <c r="H158" s="9">
        <v>628950</v>
      </c>
      <c r="I158" s="9">
        <v>18868.5</v>
      </c>
      <c r="J158" s="9">
        <v>610081.5</v>
      </c>
      <c r="K158" s="9">
        <v>467220</v>
      </c>
      <c r="L158" s="9">
        <v>142861.5</v>
      </c>
      <c r="M158" s="10">
        <v>41518</v>
      </c>
      <c r="N158">
        <v>9</v>
      </c>
      <c r="O158" t="s">
        <v>29</v>
      </c>
      <c r="P158" t="s">
        <v>14</v>
      </c>
      <c r="Q158" s="15">
        <f>Table2[[#This Row],[Discounts]]/Table2[[#This Row],[Gross Sales]]</f>
        <v>0.03</v>
      </c>
    </row>
    <row r="159" spans="1:17" x14ac:dyDescent="0.35">
      <c r="A159" t="s">
        <v>9</v>
      </c>
      <c r="B159" t="s">
        <v>18</v>
      </c>
      <c r="C159" t="s">
        <v>39</v>
      </c>
      <c r="D159" t="s">
        <v>46</v>
      </c>
      <c r="E159" s="9">
        <v>1287</v>
      </c>
      <c r="F159">
        <v>5</v>
      </c>
      <c r="G159">
        <v>125</v>
      </c>
      <c r="H159" s="9">
        <v>160875</v>
      </c>
      <c r="I159" s="9">
        <v>4826.25</v>
      </c>
      <c r="J159" s="9">
        <v>156048.75</v>
      </c>
      <c r="K159" s="9">
        <v>154440</v>
      </c>
      <c r="L159" s="9">
        <v>1608.75</v>
      </c>
      <c r="M159" s="10">
        <v>41974</v>
      </c>
      <c r="N159">
        <v>12</v>
      </c>
      <c r="O159" t="s">
        <v>32</v>
      </c>
      <c r="P159" t="s">
        <v>15</v>
      </c>
      <c r="Q159" s="15">
        <f>Table2[[#This Row],[Discounts]]/Table2[[#This Row],[Gross Sales]]</f>
        <v>0.03</v>
      </c>
    </row>
    <row r="160" spans="1:17" x14ac:dyDescent="0.35">
      <c r="A160" t="s">
        <v>9</v>
      </c>
      <c r="B160" t="s">
        <v>19</v>
      </c>
      <c r="C160" t="s">
        <v>39</v>
      </c>
      <c r="D160" t="s">
        <v>46</v>
      </c>
      <c r="E160" s="9">
        <v>1706</v>
      </c>
      <c r="F160">
        <v>5</v>
      </c>
      <c r="G160">
        <v>125</v>
      </c>
      <c r="H160" s="9">
        <v>213250</v>
      </c>
      <c r="I160" s="9">
        <v>6397.5</v>
      </c>
      <c r="J160" s="9">
        <v>206852.5</v>
      </c>
      <c r="K160" s="9">
        <v>204720</v>
      </c>
      <c r="L160" s="9">
        <v>2132.5</v>
      </c>
      <c r="M160" s="10">
        <v>41974</v>
      </c>
      <c r="N160">
        <v>12</v>
      </c>
      <c r="O160" t="s">
        <v>32</v>
      </c>
      <c r="P160" t="s">
        <v>15</v>
      </c>
      <c r="Q160" s="15">
        <f>Table2[[#This Row],[Discounts]]/Table2[[#This Row],[Gross Sales]]</f>
        <v>0.03</v>
      </c>
    </row>
    <row r="161" spans="1:17" x14ac:dyDescent="0.35">
      <c r="A161" t="s">
        <v>7</v>
      </c>
      <c r="B161" t="s">
        <v>18</v>
      </c>
      <c r="C161" t="s">
        <v>40</v>
      </c>
      <c r="D161" t="s">
        <v>46</v>
      </c>
      <c r="E161" s="9">
        <v>2434.5</v>
      </c>
      <c r="F161">
        <v>10</v>
      </c>
      <c r="G161">
        <v>300</v>
      </c>
      <c r="H161" s="9">
        <v>730350</v>
      </c>
      <c r="I161" s="9">
        <v>21910.5</v>
      </c>
      <c r="J161" s="9">
        <v>708439.5</v>
      </c>
      <c r="K161" s="9">
        <v>608625</v>
      </c>
      <c r="L161" s="9">
        <v>99814.5</v>
      </c>
      <c r="M161" s="10">
        <v>41640</v>
      </c>
      <c r="N161">
        <v>1</v>
      </c>
      <c r="O161" t="s">
        <v>21</v>
      </c>
      <c r="P161" t="s">
        <v>15</v>
      </c>
      <c r="Q161" s="15">
        <f>Table2[[#This Row],[Discounts]]/Table2[[#This Row],[Gross Sales]]</f>
        <v>0.03</v>
      </c>
    </row>
    <row r="162" spans="1:17" x14ac:dyDescent="0.35">
      <c r="A162" t="s">
        <v>9</v>
      </c>
      <c r="B162" t="s">
        <v>16</v>
      </c>
      <c r="C162" t="s">
        <v>40</v>
      </c>
      <c r="D162" t="s">
        <v>46</v>
      </c>
      <c r="E162" s="9">
        <v>1774</v>
      </c>
      <c r="F162">
        <v>10</v>
      </c>
      <c r="G162">
        <v>125</v>
      </c>
      <c r="H162" s="9">
        <v>221750</v>
      </c>
      <c r="I162" s="9">
        <v>6652.5</v>
      </c>
      <c r="J162" s="9">
        <v>215097.5</v>
      </c>
      <c r="K162" s="9">
        <v>212880</v>
      </c>
      <c r="L162" s="9">
        <v>2217.5</v>
      </c>
      <c r="M162" s="10">
        <v>41699</v>
      </c>
      <c r="N162">
        <v>3</v>
      </c>
      <c r="O162" t="s">
        <v>23</v>
      </c>
      <c r="P162" t="s">
        <v>15</v>
      </c>
      <c r="Q162" s="15">
        <f>Table2[[#This Row],[Discounts]]/Table2[[#This Row],[Gross Sales]]</f>
        <v>0.03</v>
      </c>
    </row>
    <row r="163" spans="1:17" x14ac:dyDescent="0.35">
      <c r="A163" t="s">
        <v>11</v>
      </c>
      <c r="B163" t="s">
        <v>18</v>
      </c>
      <c r="C163" t="s">
        <v>40</v>
      </c>
      <c r="D163" t="s">
        <v>46</v>
      </c>
      <c r="E163" s="9">
        <v>1901</v>
      </c>
      <c r="F163">
        <v>10</v>
      </c>
      <c r="G163">
        <v>12</v>
      </c>
      <c r="H163" s="9">
        <v>22812</v>
      </c>
      <c r="I163" s="9">
        <v>684.36</v>
      </c>
      <c r="J163" s="9">
        <v>22127.64</v>
      </c>
      <c r="K163" s="9">
        <v>5703</v>
      </c>
      <c r="L163" s="9">
        <v>16424.64</v>
      </c>
      <c r="M163" s="10">
        <v>41791</v>
      </c>
      <c r="N163">
        <v>6</v>
      </c>
      <c r="O163" t="s">
        <v>26</v>
      </c>
      <c r="P163" t="s">
        <v>15</v>
      </c>
      <c r="Q163" s="15">
        <f>Table2[[#This Row],[Discounts]]/Table2[[#This Row],[Gross Sales]]</f>
        <v>0.03</v>
      </c>
    </row>
    <row r="164" spans="1:17" x14ac:dyDescent="0.35">
      <c r="A164" t="s">
        <v>7</v>
      </c>
      <c r="B164" t="s">
        <v>19</v>
      </c>
      <c r="C164" t="s">
        <v>40</v>
      </c>
      <c r="D164" t="s">
        <v>46</v>
      </c>
      <c r="E164" s="9">
        <v>689</v>
      </c>
      <c r="F164">
        <v>10</v>
      </c>
      <c r="G164">
        <v>300</v>
      </c>
      <c r="H164" s="9">
        <v>206700</v>
      </c>
      <c r="I164" s="9">
        <v>6201</v>
      </c>
      <c r="J164" s="9">
        <v>200499</v>
      </c>
      <c r="K164" s="9">
        <v>172250</v>
      </c>
      <c r="L164" s="9">
        <v>28249</v>
      </c>
      <c r="M164" s="10">
        <v>41791</v>
      </c>
      <c r="N164">
        <v>6</v>
      </c>
      <c r="O164" t="s">
        <v>26</v>
      </c>
      <c r="P164" t="s">
        <v>15</v>
      </c>
      <c r="Q164" s="15">
        <f>Table2[[#This Row],[Discounts]]/Table2[[#This Row],[Gross Sales]]</f>
        <v>0.03</v>
      </c>
    </row>
    <row r="165" spans="1:17" x14ac:dyDescent="0.35">
      <c r="A165" t="s">
        <v>9</v>
      </c>
      <c r="B165" t="s">
        <v>19</v>
      </c>
      <c r="C165" t="s">
        <v>40</v>
      </c>
      <c r="D165" t="s">
        <v>46</v>
      </c>
      <c r="E165" s="9">
        <v>1570</v>
      </c>
      <c r="F165">
        <v>10</v>
      </c>
      <c r="G165">
        <v>125</v>
      </c>
      <c r="H165" s="9">
        <v>196250</v>
      </c>
      <c r="I165" s="9">
        <v>5887.5</v>
      </c>
      <c r="J165" s="9">
        <v>190362.5</v>
      </c>
      <c r="K165" s="9">
        <v>188400</v>
      </c>
      <c r="L165" s="9">
        <v>1962.5</v>
      </c>
      <c r="M165" s="10">
        <v>41791</v>
      </c>
      <c r="N165">
        <v>6</v>
      </c>
      <c r="O165" t="s">
        <v>26</v>
      </c>
      <c r="P165" t="s">
        <v>15</v>
      </c>
      <c r="Q165" s="15">
        <f>Table2[[#This Row],[Discounts]]/Table2[[#This Row],[Gross Sales]]</f>
        <v>0.03</v>
      </c>
    </row>
    <row r="166" spans="1:17" x14ac:dyDescent="0.35">
      <c r="A166" t="s">
        <v>11</v>
      </c>
      <c r="B166" t="s">
        <v>92</v>
      </c>
      <c r="C166" t="s">
        <v>40</v>
      </c>
      <c r="D166" t="s">
        <v>46</v>
      </c>
      <c r="E166" s="9">
        <v>1369.5</v>
      </c>
      <c r="F166">
        <v>10</v>
      </c>
      <c r="G166">
        <v>12</v>
      </c>
      <c r="H166" s="9">
        <v>16434</v>
      </c>
      <c r="I166" s="9">
        <v>493.02</v>
      </c>
      <c r="J166" s="9">
        <v>15940.98</v>
      </c>
      <c r="K166" s="9">
        <v>4108.5</v>
      </c>
      <c r="L166" s="9">
        <v>11832.48</v>
      </c>
      <c r="M166" s="10">
        <v>41821</v>
      </c>
      <c r="N166">
        <v>7</v>
      </c>
      <c r="O166" t="s">
        <v>27</v>
      </c>
      <c r="P166" t="s">
        <v>15</v>
      </c>
      <c r="Q166" s="15">
        <f>Table2[[#This Row],[Discounts]]/Table2[[#This Row],[Gross Sales]]</f>
        <v>0.03</v>
      </c>
    </row>
    <row r="167" spans="1:17" x14ac:dyDescent="0.35">
      <c r="A167" t="s">
        <v>9</v>
      </c>
      <c r="B167" t="s">
        <v>16</v>
      </c>
      <c r="C167" t="s">
        <v>40</v>
      </c>
      <c r="D167" t="s">
        <v>46</v>
      </c>
      <c r="E167" s="9">
        <v>2009</v>
      </c>
      <c r="F167">
        <v>10</v>
      </c>
      <c r="G167">
        <v>125</v>
      </c>
      <c r="H167" s="9">
        <v>251125</v>
      </c>
      <c r="I167" s="9">
        <v>7533.75</v>
      </c>
      <c r="J167" s="9">
        <v>243591.25</v>
      </c>
      <c r="K167" s="9">
        <v>241080</v>
      </c>
      <c r="L167" s="9">
        <v>2511.25</v>
      </c>
      <c r="M167" s="10">
        <v>41913</v>
      </c>
      <c r="N167">
        <v>10</v>
      </c>
      <c r="O167" t="s">
        <v>30</v>
      </c>
      <c r="P167" t="s">
        <v>15</v>
      </c>
      <c r="Q167" s="15">
        <f>Table2[[#This Row],[Discounts]]/Table2[[#This Row],[Gross Sales]]</f>
        <v>0.03</v>
      </c>
    </row>
    <row r="168" spans="1:17" x14ac:dyDescent="0.35">
      <c r="A168" t="s">
        <v>8</v>
      </c>
      <c r="B168" t="s">
        <v>19</v>
      </c>
      <c r="C168" t="s">
        <v>40</v>
      </c>
      <c r="D168" t="s">
        <v>46</v>
      </c>
      <c r="E168" s="9">
        <v>1945</v>
      </c>
      <c r="F168">
        <v>10</v>
      </c>
      <c r="G168">
        <v>15</v>
      </c>
      <c r="H168" s="9">
        <v>29175</v>
      </c>
      <c r="I168" s="9">
        <v>875.25</v>
      </c>
      <c r="J168" s="9">
        <v>28299.75</v>
      </c>
      <c r="K168" s="9">
        <v>19450</v>
      </c>
      <c r="L168" s="9">
        <v>8849.75</v>
      </c>
      <c r="M168" s="10">
        <v>41548</v>
      </c>
      <c r="N168">
        <v>10</v>
      </c>
      <c r="O168" t="s">
        <v>30</v>
      </c>
      <c r="P168" t="s">
        <v>14</v>
      </c>
      <c r="Q168" s="15">
        <f>Table2[[#This Row],[Discounts]]/Table2[[#This Row],[Gross Sales]]</f>
        <v>0.03</v>
      </c>
    </row>
    <row r="169" spans="1:17" x14ac:dyDescent="0.35">
      <c r="A169" t="s">
        <v>9</v>
      </c>
      <c r="B169" t="s">
        <v>18</v>
      </c>
      <c r="C169" t="s">
        <v>40</v>
      </c>
      <c r="D169" t="s">
        <v>46</v>
      </c>
      <c r="E169" s="9">
        <v>1287</v>
      </c>
      <c r="F169">
        <v>10</v>
      </c>
      <c r="G169">
        <v>125</v>
      </c>
      <c r="H169" s="9">
        <v>160875</v>
      </c>
      <c r="I169" s="9">
        <v>4826.25</v>
      </c>
      <c r="J169" s="9">
        <v>156048.75</v>
      </c>
      <c r="K169" s="9">
        <v>154440</v>
      </c>
      <c r="L169" s="9">
        <v>1608.75</v>
      </c>
      <c r="M169" s="10">
        <v>41974</v>
      </c>
      <c r="N169">
        <v>12</v>
      </c>
      <c r="O169" t="s">
        <v>32</v>
      </c>
      <c r="P169" t="s">
        <v>15</v>
      </c>
      <c r="Q169" s="15">
        <f>Table2[[#This Row],[Discounts]]/Table2[[#This Row],[Gross Sales]]</f>
        <v>0.03</v>
      </c>
    </row>
    <row r="170" spans="1:17" x14ac:dyDescent="0.35">
      <c r="A170" t="s">
        <v>9</v>
      </c>
      <c r="B170" t="s">
        <v>19</v>
      </c>
      <c r="C170" t="s">
        <v>40</v>
      </c>
      <c r="D170" t="s">
        <v>46</v>
      </c>
      <c r="E170" s="9">
        <v>1706</v>
      </c>
      <c r="F170">
        <v>10</v>
      </c>
      <c r="G170">
        <v>125</v>
      </c>
      <c r="H170" s="9">
        <v>213250</v>
      </c>
      <c r="I170" s="9">
        <v>6397.5</v>
      </c>
      <c r="J170" s="9">
        <v>206852.5</v>
      </c>
      <c r="K170" s="9">
        <v>204720</v>
      </c>
      <c r="L170" s="9">
        <v>2132.5</v>
      </c>
      <c r="M170" s="10">
        <v>41974</v>
      </c>
      <c r="N170">
        <v>12</v>
      </c>
      <c r="O170" t="s">
        <v>32</v>
      </c>
      <c r="P170" t="s">
        <v>15</v>
      </c>
      <c r="Q170" s="15">
        <f>Table2[[#This Row],[Discounts]]/Table2[[#This Row],[Gross Sales]]</f>
        <v>0.03</v>
      </c>
    </row>
    <row r="171" spans="1:17" x14ac:dyDescent="0.35">
      <c r="A171" t="s">
        <v>9</v>
      </c>
      <c r="B171" t="s">
        <v>16</v>
      </c>
      <c r="C171" t="s">
        <v>41</v>
      </c>
      <c r="D171" t="s">
        <v>46</v>
      </c>
      <c r="E171" s="9">
        <v>2009</v>
      </c>
      <c r="F171">
        <v>120</v>
      </c>
      <c r="G171">
        <v>125</v>
      </c>
      <c r="H171" s="9">
        <v>251125</v>
      </c>
      <c r="I171" s="9">
        <v>7533.75</v>
      </c>
      <c r="J171" s="9">
        <v>243591.25</v>
      </c>
      <c r="K171" s="9">
        <v>241080</v>
      </c>
      <c r="L171" s="9">
        <v>2511.25</v>
      </c>
      <c r="M171" s="10">
        <v>41913</v>
      </c>
      <c r="N171">
        <v>10</v>
      </c>
      <c r="O171" t="s">
        <v>30</v>
      </c>
      <c r="P171" t="s">
        <v>15</v>
      </c>
      <c r="Q171" s="15">
        <f>Table2[[#This Row],[Discounts]]/Table2[[#This Row],[Gross Sales]]</f>
        <v>0.03</v>
      </c>
    </row>
    <row r="172" spans="1:17" x14ac:dyDescent="0.35">
      <c r="A172" t="s">
        <v>7</v>
      </c>
      <c r="B172" t="s">
        <v>92</v>
      </c>
      <c r="C172" t="s">
        <v>42</v>
      </c>
      <c r="D172" t="s">
        <v>46</v>
      </c>
      <c r="E172" s="9">
        <v>2844</v>
      </c>
      <c r="F172">
        <v>250</v>
      </c>
      <c r="G172">
        <v>300</v>
      </c>
      <c r="H172" s="9">
        <v>853200</v>
      </c>
      <c r="I172" s="9">
        <v>25596</v>
      </c>
      <c r="J172" s="9">
        <v>827604</v>
      </c>
      <c r="K172" s="9">
        <v>711000</v>
      </c>
      <c r="L172" s="9">
        <v>116604</v>
      </c>
      <c r="M172" s="10">
        <v>41671</v>
      </c>
      <c r="N172">
        <v>2</v>
      </c>
      <c r="O172" t="s">
        <v>22</v>
      </c>
      <c r="P172" t="s">
        <v>15</v>
      </c>
      <c r="Q172" s="15">
        <f>Table2[[#This Row],[Discounts]]/Table2[[#This Row],[Gross Sales]]</f>
        <v>0.03</v>
      </c>
    </row>
    <row r="173" spans="1:17" x14ac:dyDescent="0.35">
      <c r="A173" t="s">
        <v>11</v>
      </c>
      <c r="B173" t="s">
        <v>20</v>
      </c>
      <c r="C173" t="s">
        <v>42</v>
      </c>
      <c r="D173" t="s">
        <v>46</v>
      </c>
      <c r="E173" s="9">
        <v>1916</v>
      </c>
      <c r="F173">
        <v>250</v>
      </c>
      <c r="G173">
        <v>12</v>
      </c>
      <c r="H173" s="9">
        <v>22992</v>
      </c>
      <c r="I173" s="9">
        <v>689.76</v>
      </c>
      <c r="J173" s="9">
        <v>22302.240000000002</v>
      </c>
      <c r="K173" s="9">
        <v>5748</v>
      </c>
      <c r="L173" s="9">
        <v>16554.240000000002</v>
      </c>
      <c r="M173" s="10">
        <v>41730</v>
      </c>
      <c r="N173">
        <v>4</v>
      </c>
      <c r="O173" t="s">
        <v>24</v>
      </c>
      <c r="P173" t="s">
        <v>15</v>
      </c>
      <c r="Q173" s="15">
        <f>Table2[[#This Row],[Discounts]]/Table2[[#This Row],[Gross Sales]]</f>
        <v>0.03</v>
      </c>
    </row>
    <row r="174" spans="1:17" x14ac:dyDescent="0.35">
      <c r="A174" t="s">
        <v>9</v>
      </c>
      <c r="B174" t="s">
        <v>19</v>
      </c>
      <c r="C174" t="s">
        <v>42</v>
      </c>
      <c r="D174" t="s">
        <v>46</v>
      </c>
      <c r="E174" s="9">
        <v>1570</v>
      </c>
      <c r="F174">
        <v>250</v>
      </c>
      <c r="G174">
        <v>125</v>
      </c>
      <c r="H174" s="9">
        <v>196250</v>
      </c>
      <c r="I174" s="9">
        <v>5887.5</v>
      </c>
      <c r="J174" s="9">
        <v>190362.5</v>
      </c>
      <c r="K174" s="9">
        <v>188400</v>
      </c>
      <c r="L174" s="9">
        <v>1962.5</v>
      </c>
      <c r="M174" s="10">
        <v>41791</v>
      </c>
      <c r="N174">
        <v>6</v>
      </c>
      <c r="O174" t="s">
        <v>26</v>
      </c>
      <c r="P174" t="s">
        <v>15</v>
      </c>
      <c r="Q174" s="15">
        <f>Table2[[#This Row],[Discounts]]/Table2[[#This Row],[Gross Sales]]</f>
        <v>0.03</v>
      </c>
    </row>
    <row r="175" spans="1:17" x14ac:dyDescent="0.35">
      <c r="A175" t="s">
        <v>7</v>
      </c>
      <c r="B175" t="s">
        <v>16</v>
      </c>
      <c r="C175" t="s">
        <v>42</v>
      </c>
      <c r="D175" t="s">
        <v>46</v>
      </c>
      <c r="E175" s="9">
        <v>1874</v>
      </c>
      <c r="F175">
        <v>250</v>
      </c>
      <c r="G175">
        <v>300</v>
      </c>
      <c r="H175" s="9">
        <v>562200</v>
      </c>
      <c r="I175" s="9">
        <v>16866</v>
      </c>
      <c r="J175" s="9">
        <v>545334</v>
      </c>
      <c r="K175" s="9">
        <v>468500</v>
      </c>
      <c r="L175" s="9">
        <v>76834</v>
      </c>
      <c r="M175" s="10">
        <v>41852</v>
      </c>
      <c r="N175">
        <v>8</v>
      </c>
      <c r="O175" t="s">
        <v>28</v>
      </c>
      <c r="P175" t="s">
        <v>15</v>
      </c>
      <c r="Q175" s="15">
        <f>Table2[[#This Row],[Discounts]]/Table2[[#This Row],[Gross Sales]]</f>
        <v>0.03</v>
      </c>
    </row>
    <row r="176" spans="1:17" x14ac:dyDescent="0.35">
      <c r="A176" t="s">
        <v>10</v>
      </c>
      <c r="B176" t="s">
        <v>20</v>
      </c>
      <c r="C176" t="s">
        <v>42</v>
      </c>
      <c r="D176" t="s">
        <v>46</v>
      </c>
      <c r="E176" s="9">
        <v>1642</v>
      </c>
      <c r="F176">
        <v>250</v>
      </c>
      <c r="G176">
        <v>350</v>
      </c>
      <c r="H176" s="9">
        <v>574700</v>
      </c>
      <c r="I176" s="9">
        <v>17241</v>
      </c>
      <c r="J176" s="9">
        <v>557459</v>
      </c>
      <c r="K176" s="9">
        <v>426920</v>
      </c>
      <c r="L176" s="9">
        <v>130539</v>
      </c>
      <c r="M176" s="10">
        <v>41852</v>
      </c>
      <c r="N176">
        <v>8</v>
      </c>
      <c r="O176" t="s">
        <v>28</v>
      </c>
      <c r="P176" t="s">
        <v>15</v>
      </c>
      <c r="Q176" s="15">
        <f>Table2[[#This Row],[Discounts]]/Table2[[#This Row],[Gross Sales]]</f>
        <v>0.03</v>
      </c>
    </row>
    <row r="177" spans="1:17" x14ac:dyDescent="0.35">
      <c r="A177" t="s">
        <v>8</v>
      </c>
      <c r="B177" t="s">
        <v>19</v>
      </c>
      <c r="C177" t="s">
        <v>42</v>
      </c>
      <c r="D177" t="s">
        <v>46</v>
      </c>
      <c r="E177" s="9">
        <v>1945</v>
      </c>
      <c r="F177">
        <v>250</v>
      </c>
      <c r="G177">
        <v>15</v>
      </c>
      <c r="H177" s="9">
        <v>29175</v>
      </c>
      <c r="I177" s="9">
        <v>875.25</v>
      </c>
      <c r="J177" s="9">
        <v>28299.75</v>
      </c>
      <c r="K177" s="9">
        <v>19450</v>
      </c>
      <c r="L177" s="9">
        <v>8849.75</v>
      </c>
      <c r="M177" s="10">
        <v>41548</v>
      </c>
      <c r="N177">
        <v>10</v>
      </c>
      <c r="O177" t="s">
        <v>30</v>
      </c>
      <c r="P177" t="s">
        <v>14</v>
      </c>
      <c r="Q177" s="15">
        <f>Table2[[#This Row],[Discounts]]/Table2[[#This Row],[Gross Sales]]</f>
        <v>0.03</v>
      </c>
    </row>
    <row r="178" spans="1:17" x14ac:dyDescent="0.35">
      <c r="A178" t="s">
        <v>10</v>
      </c>
      <c r="B178" t="s">
        <v>16</v>
      </c>
      <c r="C178" t="s">
        <v>38</v>
      </c>
      <c r="D178" t="s">
        <v>46</v>
      </c>
      <c r="E178" s="9">
        <v>831</v>
      </c>
      <c r="F178">
        <v>3</v>
      </c>
      <c r="G178">
        <v>20</v>
      </c>
      <c r="H178" s="9">
        <v>16620</v>
      </c>
      <c r="I178" s="9">
        <v>498.6</v>
      </c>
      <c r="J178" s="9">
        <v>16121.4</v>
      </c>
      <c r="K178" s="9">
        <v>8310</v>
      </c>
      <c r="L178" s="9">
        <v>7811.4</v>
      </c>
      <c r="M178" s="10">
        <v>41760</v>
      </c>
      <c r="N178">
        <v>5</v>
      </c>
      <c r="O178" t="s">
        <v>25</v>
      </c>
      <c r="P178" t="s">
        <v>15</v>
      </c>
      <c r="Q178" s="15">
        <f>Table2[[#This Row],[Discounts]]/Table2[[#This Row],[Gross Sales]]</f>
        <v>3.0000000000000002E-2</v>
      </c>
    </row>
    <row r="179" spans="1:17" x14ac:dyDescent="0.35">
      <c r="A179" t="s">
        <v>10</v>
      </c>
      <c r="B179" t="s">
        <v>20</v>
      </c>
      <c r="C179" t="s">
        <v>40</v>
      </c>
      <c r="D179" t="s">
        <v>46</v>
      </c>
      <c r="E179" s="9">
        <v>1760</v>
      </c>
      <c r="F179">
        <v>10</v>
      </c>
      <c r="G179">
        <v>7</v>
      </c>
      <c r="H179" s="9">
        <v>12320</v>
      </c>
      <c r="I179" s="9">
        <v>369.6</v>
      </c>
      <c r="J179" s="9">
        <v>11950.4</v>
      </c>
      <c r="K179" s="9">
        <v>8800</v>
      </c>
      <c r="L179" s="9">
        <v>3150.3999999999996</v>
      </c>
      <c r="M179" s="10">
        <v>41518</v>
      </c>
      <c r="N179">
        <v>9</v>
      </c>
      <c r="O179" t="s">
        <v>29</v>
      </c>
      <c r="P179" t="s">
        <v>14</v>
      </c>
      <c r="Q179" s="15">
        <f>Table2[[#This Row],[Discounts]]/Table2[[#This Row],[Gross Sales]]</f>
        <v>3.0000000000000002E-2</v>
      </c>
    </row>
    <row r="180" spans="1:17" x14ac:dyDescent="0.35">
      <c r="A180" t="s">
        <v>10</v>
      </c>
      <c r="B180" t="s">
        <v>16</v>
      </c>
      <c r="C180" t="s">
        <v>41</v>
      </c>
      <c r="D180" t="s">
        <v>46</v>
      </c>
      <c r="E180" s="9">
        <v>3850.5</v>
      </c>
      <c r="F180">
        <v>120</v>
      </c>
      <c r="G180">
        <v>20</v>
      </c>
      <c r="H180" s="9">
        <v>77010</v>
      </c>
      <c r="I180" s="9">
        <v>2310.3000000000002</v>
      </c>
      <c r="J180" s="9">
        <v>74699.700000000012</v>
      </c>
      <c r="K180" s="9">
        <v>38505</v>
      </c>
      <c r="L180" s="9">
        <v>36194.700000000004</v>
      </c>
      <c r="M180" s="10">
        <v>41730</v>
      </c>
      <c r="N180">
        <v>4</v>
      </c>
      <c r="O180" t="s">
        <v>24</v>
      </c>
      <c r="P180" t="s">
        <v>15</v>
      </c>
      <c r="Q180" s="15">
        <f>Table2[[#This Row],[Discounts]]/Table2[[#This Row],[Gross Sales]]</f>
        <v>3.0000000000000002E-2</v>
      </c>
    </row>
    <row r="181" spans="1:17" x14ac:dyDescent="0.35">
      <c r="A181" t="s">
        <v>11</v>
      </c>
      <c r="B181" t="s">
        <v>19</v>
      </c>
      <c r="C181" t="s">
        <v>42</v>
      </c>
      <c r="D181" t="s">
        <v>46</v>
      </c>
      <c r="E181" s="9">
        <v>2479</v>
      </c>
      <c r="F181">
        <v>250</v>
      </c>
      <c r="G181">
        <v>12</v>
      </c>
      <c r="H181" s="9">
        <v>29748</v>
      </c>
      <c r="I181" s="9">
        <v>892.44</v>
      </c>
      <c r="J181" s="9">
        <v>28855.56</v>
      </c>
      <c r="K181" s="9">
        <v>7437</v>
      </c>
      <c r="L181" s="9">
        <v>21418.560000000001</v>
      </c>
      <c r="M181" s="10">
        <v>41640</v>
      </c>
      <c r="N181">
        <v>1</v>
      </c>
      <c r="O181" t="s">
        <v>21</v>
      </c>
      <c r="P181" t="s">
        <v>15</v>
      </c>
      <c r="Q181" s="15">
        <f>Table2[[#This Row],[Discounts]]/Table2[[#This Row],[Gross Sales]]</f>
        <v>3.0000000000000002E-2</v>
      </c>
    </row>
    <row r="182" spans="1:17" x14ac:dyDescent="0.35">
      <c r="A182" t="s">
        <v>8</v>
      </c>
      <c r="B182" t="s">
        <v>20</v>
      </c>
      <c r="C182" t="s">
        <v>39</v>
      </c>
      <c r="D182" t="s">
        <v>46</v>
      </c>
      <c r="E182" s="9">
        <v>2031</v>
      </c>
      <c r="F182">
        <v>5</v>
      </c>
      <c r="G182">
        <v>15</v>
      </c>
      <c r="H182" s="9">
        <v>30465</v>
      </c>
      <c r="I182" s="9">
        <v>1218.5999999999999</v>
      </c>
      <c r="J182" s="9">
        <v>29246.400000000001</v>
      </c>
      <c r="K182" s="9">
        <v>20310</v>
      </c>
      <c r="L182" s="9">
        <v>8936.4000000000015</v>
      </c>
      <c r="M182" s="10">
        <v>41913</v>
      </c>
      <c r="N182">
        <v>10</v>
      </c>
      <c r="O182" t="s">
        <v>30</v>
      </c>
      <c r="P182" t="s">
        <v>15</v>
      </c>
      <c r="Q182" s="15">
        <f>Table2[[#This Row],[Discounts]]/Table2[[#This Row],[Gross Sales]]</f>
        <v>3.9999999999999994E-2</v>
      </c>
    </row>
    <row r="183" spans="1:17" x14ac:dyDescent="0.35">
      <c r="A183" t="s">
        <v>8</v>
      </c>
      <c r="B183" t="s">
        <v>20</v>
      </c>
      <c r="C183" t="s">
        <v>40</v>
      </c>
      <c r="D183" t="s">
        <v>46</v>
      </c>
      <c r="E183" s="9">
        <v>2031</v>
      </c>
      <c r="F183">
        <v>10</v>
      </c>
      <c r="G183">
        <v>15</v>
      </c>
      <c r="H183" s="9">
        <v>30465</v>
      </c>
      <c r="I183" s="9">
        <v>1218.5999999999999</v>
      </c>
      <c r="J183" s="9">
        <v>29246.400000000001</v>
      </c>
      <c r="K183" s="9">
        <v>20310</v>
      </c>
      <c r="L183" s="9">
        <v>8936.4000000000015</v>
      </c>
      <c r="M183" s="10">
        <v>41913</v>
      </c>
      <c r="N183">
        <v>10</v>
      </c>
      <c r="O183" t="s">
        <v>30</v>
      </c>
      <c r="P183" t="s">
        <v>15</v>
      </c>
      <c r="Q183" s="15">
        <f>Table2[[#This Row],[Discounts]]/Table2[[#This Row],[Gross Sales]]</f>
        <v>3.9999999999999994E-2</v>
      </c>
    </row>
    <row r="184" spans="1:17" x14ac:dyDescent="0.35">
      <c r="A184" t="s">
        <v>8</v>
      </c>
      <c r="B184" t="s">
        <v>18</v>
      </c>
      <c r="C184" t="s">
        <v>40</v>
      </c>
      <c r="D184" t="s">
        <v>46</v>
      </c>
      <c r="E184" s="9">
        <v>2261</v>
      </c>
      <c r="F184">
        <v>10</v>
      </c>
      <c r="G184">
        <v>15</v>
      </c>
      <c r="H184" s="9">
        <v>33915</v>
      </c>
      <c r="I184" s="9">
        <v>1356.6</v>
      </c>
      <c r="J184" s="9">
        <v>32558.400000000001</v>
      </c>
      <c r="K184" s="9">
        <v>22610</v>
      </c>
      <c r="L184" s="9">
        <v>9948.4000000000015</v>
      </c>
      <c r="M184" s="10">
        <v>41609</v>
      </c>
      <c r="N184">
        <v>12</v>
      </c>
      <c r="O184" t="s">
        <v>32</v>
      </c>
      <c r="P184" t="s">
        <v>14</v>
      </c>
      <c r="Q184" s="15">
        <f>Table2[[#This Row],[Discounts]]/Table2[[#This Row],[Gross Sales]]</f>
        <v>3.9999999999999994E-2</v>
      </c>
    </row>
    <row r="185" spans="1:17" x14ac:dyDescent="0.35">
      <c r="A185" t="s">
        <v>10</v>
      </c>
      <c r="B185" t="s">
        <v>92</v>
      </c>
      <c r="C185" t="s">
        <v>41</v>
      </c>
      <c r="D185" t="s">
        <v>46</v>
      </c>
      <c r="E185" s="9">
        <v>736</v>
      </c>
      <c r="F185">
        <v>120</v>
      </c>
      <c r="G185">
        <v>20</v>
      </c>
      <c r="H185" s="9">
        <v>14720</v>
      </c>
      <c r="I185" s="9">
        <v>588.79999999999995</v>
      </c>
      <c r="J185" s="9">
        <v>14131.2</v>
      </c>
      <c r="K185" s="9">
        <v>7360</v>
      </c>
      <c r="L185" s="9">
        <v>6771.2000000000007</v>
      </c>
      <c r="M185" s="10">
        <v>41518</v>
      </c>
      <c r="N185">
        <v>9</v>
      </c>
      <c r="O185" t="s">
        <v>29</v>
      </c>
      <c r="P185" t="s">
        <v>14</v>
      </c>
      <c r="Q185" s="15">
        <f>Table2[[#This Row],[Discounts]]/Table2[[#This Row],[Gross Sales]]</f>
        <v>3.9999999999999994E-2</v>
      </c>
    </row>
    <row r="186" spans="1:17" x14ac:dyDescent="0.35">
      <c r="A186" t="s">
        <v>10</v>
      </c>
      <c r="B186" t="s">
        <v>16</v>
      </c>
      <c r="C186" t="s">
        <v>38</v>
      </c>
      <c r="D186" t="s">
        <v>46</v>
      </c>
      <c r="E186" s="9">
        <v>2851</v>
      </c>
      <c r="F186">
        <v>3</v>
      </c>
      <c r="G186">
        <v>7</v>
      </c>
      <c r="H186" s="9">
        <v>19957</v>
      </c>
      <c r="I186" s="9">
        <v>798.28</v>
      </c>
      <c r="J186" s="9">
        <v>19158.72</v>
      </c>
      <c r="K186" s="9">
        <v>14255</v>
      </c>
      <c r="L186" s="9">
        <v>4903.7200000000012</v>
      </c>
      <c r="M186" s="10">
        <v>41548</v>
      </c>
      <c r="N186">
        <v>10</v>
      </c>
      <c r="O186" t="s">
        <v>30</v>
      </c>
      <c r="P186" t="s">
        <v>14</v>
      </c>
      <c r="Q186" s="15">
        <f>Table2[[#This Row],[Discounts]]/Table2[[#This Row],[Gross Sales]]</f>
        <v>0.04</v>
      </c>
    </row>
    <row r="187" spans="1:17" x14ac:dyDescent="0.35">
      <c r="A187" t="s">
        <v>7</v>
      </c>
      <c r="B187" t="s">
        <v>19</v>
      </c>
      <c r="C187" t="s">
        <v>38</v>
      </c>
      <c r="D187" t="s">
        <v>46</v>
      </c>
      <c r="E187" s="9">
        <v>2021</v>
      </c>
      <c r="F187">
        <v>3</v>
      </c>
      <c r="G187">
        <v>300</v>
      </c>
      <c r="H187" s="9">
        <v>606300</v>
      </c>
      <c r="I187" s="9">
        <v>24252</v>
      </c>
      <c r="J187" s="9">
        <v>582048</v>
      </c>
      <c r="K187" s="9">
        <v>505250</v>
      </c>
      <c r="L187" s="9">
        <v>76798</v>
      </c>
      <c r="M187" s="10">
        <v>41913</v>
      </c>
      <c r="N187">
        <v>10</v>
      </c>
      <c r="O187" t="s">
        <v>30</v>
      </c>
      <c r="P187" t="s">
        <v>15</v>
      </c>
      <c r="Q187" s="15">
        <f>Table2[[#This Row],[Discounts]]/Table2[[#This Row],[Gross Sales]]</f>
        <v>0.04</v>
      </c>
    </row>
    <row r="188" spans="1:17" x14ac:dyDescent="0.35">
      <c r="A188" t="s">
        <v>10</v>
      </c>
      <c r="B188" t="s">
        <v>92</v>
      </c>
      <c r="C188" t="s">
        <v>38</v>
      </c>
      <c r="D188" t="s">
        <v>46</v>
      </c>
      <c r="E188" s="9">
        <v>274</v>
      </c>
      <c r="F188">
        <v>3</v>
      </c>
      <c r="G188">
        <v>350</v>
      </c>
      <c r="H188" s="9">
        <v>95900</v>
      </c>
      <c r="I188" s="9">
        <v>3836</v>
      </c>
      <c r="J188" s="9">
        <v>92064</v>
      </c>
      <c r="K188" s="9">
        <v>71240</v>
      </c>
      <c r="L188" s="9">
        <v>20824</v>
      </c>
      <c r="M188" s="10">
        <v>41974</v>
      </c>
      <c r="N188">
        <v>12</v>
      </c>
      <c r="O188" t="s">
        <v>32</v>
      </c>
      <c r="P188" t="s">
        <v>15</v>
      </c>
      <c r="Q188" s="15">
        <f>Table2[[#This Row],[Discounts]]/Table2[[#This Row],[Gross Sales]]</f>
        <v>0.04</v>
      </c>
    </row>
    <row r="189" spans="1:17" x14ac:dyDescent="0.35">
      <c r="A189" t="s">
        <v>8</v>
      </c>
      <c r="B189" t="s">
        <v>16</v>
      </c>
      <c r="C189" t="s">
        <v>39</v>
      </c>
      <c r="D189" t="s">
        <v>46</v>
      </c>
      <c r="E189" s="9">
        <v>1967</v>
      </c>
      <c r="F189">
        <v>5</v>
      </c>
      <c r="G189">
        <v>15</v>
      </c>
      <c r="H189" s="9">
        <v>29505</v>
      </c>
      <c r="I189" s="9">
        <v>1180.2</v>
      </c>
      <c r="J189" s="9">
        <v>28324.799999999999</v>
      </c>
      <c r="K189" s="9">
        <v>19670</v>
      </c>
      <c r="L189" s="9">
        <v>8654.7999999999993</v>
      </c>
      <c r="M189" s="10">
        <v>41699</v>
      </c>
      <c r="N189">
        <v>3</v>
      </c>
      <c r="O189" t="s">
        <v>23</v>
      </c>
      <c r="P189" t="s">
        <v>15</v>
      </c>
      <c r="Q189" s="15">
        <f>Table2[[#This Row],[Discounts]]/Table2[[#This Row],[Gross Sales]]</f>
        <v>0.04</v>
      </c>
    </row>
    <row r="190" spans="1:17" x14ac:dyDescent="0.35">
      <c r="A190" t="s">
        <v>7</v>
      </c>
      <c r="B190" t="s">
        <v>19</v>
      </c>
      <c r="C190" t="s">
        <v>39</v>
      </c>
      <c r="D190" t="s">
        <v>46</v>
      </c>
      <c r="E190" s="9">
        <v>1859</v>
      </c>
      <c r="F190">
        <v>5</v>
      </c>
      <c r="G190">
        <v>300</v>
      </c>
      <c r="H190" s="9">
        <v>557700</v>
      </c>
      <c r="I190" s="9">
        <v>22308</v>
      </c>
      <c r="J190" s="9">
        <v>535392</v>
      </c>
      <c r="K190" s="9">
        <v>464750</v>
      </c>
      <c r="L190" s="9">
        <v>70642</v>
      </c>
      <c r="M190" s="10">
        <v>41852</v>
      </c>
      <c r="N190">
        <v>8</v>
      </c>
      <c r="O190" t="s">
        <v>28</v>
      </c>
      <c r="P190" t="s">
        <v>15</v>
      </c>
      <c r="Q190" s="15">
        <f>Table2[[#This Row],[Discounts]]/Table2[[#This Row],[Gross Sales]]</f>
        <v>0.04</v>
      </c>
    </row>
    <row r="191" spans="1:17" x14ac:dyDescent="0.35">
      <c r="A191" t="s">
        <v>10</v>
      </c>
      <c r="B191" t="s">
        <v>16</v>
      </c>
      <c r="C191" t="s">
        <v>39</v>
      </c>
      <c r="D191" t="s">
        <v>46</v>
      </c>
      <c r="E191" s="9">
        <v>2851</v>
      </c>
      <c r="F191">
        <v>5</v>
      </c>
      <c r="G191">
        <v>7</v>
      </c>
      <c r="H191" s="9">
        <v>19957</v>
      </c>
      <c r="I191" s="9">
        <v>798.28</v>
      </c>
      <c r="J191" s="9">
        <v>19158.72</v>
      </c>
      <c r="K191" s="9">
        <v>14255</v>
      </c>
      <c r="L191" s="9">
        <v>4903.7200000000012</v>
      </c>
      <c r="M191" s="10">
        <v>41548</v>
      </c>
      <c r="N191">
        <v>10</v>
      </c>
      <c r="O191" t="s">
        <v>30</v>
      </c>
      <c r="P191" t="s">
        <v>14</v>
      </c>
      <c r="Q191" s="15">
        <f>Table2[[#This Row],[Discounts]]/Table2[[#This Row],[Gross Sales]]</f>
        <v>0.04</v>
      </c>
    </row>
    <row r="192" spans="1:17" x14ac:dyDescent="0.35">
      <c r="A192" t="s">
        <v>7</v>
      </c>
      <c r="B192" t="s">
        <v>19</v>
      </c>
      <c r="C192" t="s">
        <v>39</v>
      </c>
      <c r="D192" t="s">
        <v>46</v>
      </c>
      <c r="E192" s="9">
        <v>2021</v>
      </c>
      <c r="F192">
        <v>5</v>
      </c>
      <c r="G192">
        <v>300</v>
      </c>
      <c r="H192" s="9">
        <v>606300</v>
      </c>
      <c r="I192" s="9">
        <v>24252</v>
      </c>
      <c r="J192" s="9">
        <v>582048</v>
      </c>
      <c r="K192" s="9">
        <v>505250</v>
      </c>
      <c r="L192" s="9">
        <v>76798</v>
      </c>
      <c r="M192" s="10">
        <v>41913</v>
      </c>
      <c r="N192">
        <v>10</v>
      </c>
      <c r="O192" t="s">
        <v>30</v>
      </c>
      <c r="P192" t="s">
        <v>15</v>
      </c>
      <c r="Q192" s="15">
        <f>Table2[[#This Row],[Discounts]]/Table2[[#This Row],[Gross Sales]]</f>
        <v>0.04</v>
      </c>
    </row>
    <row r="193" spans="1:17" x14ac:dyDescent="0.35">
      <c r="A193" t="s">
        <v>9</v>
      </c>
      <c r="B193" t="s">
        <v>20</v>
      </c>
      <c r="C193" t="s">
        <v>39</v>
      </c>
      <c r="D193" t="s">
        <v>46</v>
      </c>
      <c r="E193" s="9">
        <v>1138</v>
      </c>
      <c r="F193">
        <v>5</v>
      </c>
      <c r="G193">
        <v>125</v>
      </c>
      <c r="H193" s="9">
        <v>142250</v>
      </c>
      <c r="I193" s="9">
        <v>5690</v>
      </c>
      <c r="J193" s="9">
        <v>136560</v>
      </c>
      <c r="K193" s="9">
        <v>136560</v>
      </c>
      <c r="L193" s="9">
        <v>0</v>
      </c>
      <c r="M193" s="10">
        <v>41974</v>
      </c>
      <c r="N193">
        <v>12</v>
      </c>
      <c r="O193" t="s">
        <v>32</v>
      </c>
      <c r="P193" t="s">
        <v>15</v>
      </c>
      <c r="Q193" s="15">
        <f>Table2[[#This Row],[Discounts]]/Table2[[#This Row],[Gross Sales]]</f>
        <v>0.04</v>
      </c>
    </row>
    <row r="194" spans="1:17" x14ac:dyDescent="0.35">
      <c r="A194" t="s">
        <v>10</v>
      </c>
      <c r="B194" t="s">
        <v>16</v>
      </c>
      <c r="C194" t="s">
        <v>40</v>
      </c>
      <c r="D194" t="s">
        <v>46</v>
      </c>
      <c r="E194" s="9">
        <v>4251</v>
      </c>
      <c r="F194">
        <v>10</v>
      </c>
      <c r="G194">
        <v>7</v>
      </c>
      <c r="H194" s="9">
        <v>29757</v>
      </c>
      <c r="I194" s="9">
        <v>1190.28</v>
      </c>
      <c r="J194" s="9">
        <v>28566.720000000001</v>
      </c>
      <c r="K194" s="9">
        <v>21255</v>
      </c>
      <c r="L194" s="9">
        <v>7311.7199999999993</v>
      </c>
      <c r="M194" s="10">
        <v>41640</v>
      </c>
      <c r="N194">
        <v>1</v>
      </c>
      <c r="O194" t="s">
        <v>21</v>
      </c>
      <c r="P194" t="s">
        <v>15</v>
      </c>
      <c r="Q194" s="15">
        <f>Table2[[#This Row],[Discounts]]/Table2[[#This Row],[Gross Sales]]</f>
        <v>0.04</v>
      </c>
    </row>
    <row r="195" spans="1:17" x14ac:dyDescent="0.35">
      <c r="A195" t="s">
        <v>9</v>
      </c>
      <c r="B195" t="s">
        <v>19</v>
      </c>
      <c r="C195" t="s">
        <v>40</v>
      </c>
      <c r="D195" t="s">
        <v>46</v>
      </c>
      <c r="E195" s="9">
        <v>795</v>
      </c>
      <c r="F195">
        <v>10</v>
      </c>
      <c r="G195">
        <v>125</v>
      </c>
      <c r="H195" s="9">
        <v>99375</v>
      </c>
      <c r="I195" s="9">
        <v>3975</v>
      </c>
      <c r="J195" s="9">
        <v>95400</v>
      </c>
      <c r="K195" s="9">
        <v>95400</v>
      </c>
      <c r="L195" s="9">
        <v>0</v>
      </c>
      <c r="M195" s="10">
        <v>41699</v>
      </c>
      <c r="N195">
        <v>3</v>
      </c>
      <c r="O195" t="s">
        <v>23</v>
      </c>
      <c r="P195" t="s">
        <v>15</v>
      </c>
      <c r="Q195" s="15">
        <f>Table2[[#This Row],[Discounts]]/Table2[[#This Row],[Gross Sales]]</f>
        <v>0.04</v>
      </c>
    </row>
    <row r="196" spans="1:17" x14ac:dyDescent="0.35">
      <c r="A196" t="s">
        <v>7</v>
      </c>
      <c r="B196" t="s">
        <v>19</v>
      </c>
      <c r="C196" t="s">
        <v>40</v>
      </c>
      <c r="D196" t="s">
        <v>46</v>
      </c>
      <c r="E196" s="9">
        <v>1414.5</v>
      </c>
      <c r="F196">
        <v>10</v>
      </c>
      <c r="G196">
        <v>300</v>
      </c>
      <c r="H196" s="9">
        <v>424350</v>
      </c>
      <c r="I196" s="9">
        <v>16974</v>
      </c>
      <c r="J196" s="9">
        <v>407376</v>
      </c>
      <c r="K196" s="9">
        <v>353625</v>
      </c>
      <c r="L196" s="9">
        <v>53751</v>
      </c>
      <c r="M196" s="10">
        <v>41730</v>
      </c>
      <c r="N196">
        <v>4</v>
      </c>
      <c r="O196" t="s">
        <v>24</v>
      </c>
      <c r="P196" t="s">
        <v>15</v>
      </c>
      <c r="Q196" s="15">
        <f>Table2[[#This Row],[Discounts]]/Table2[[#This Row],[Gross Sales]]</f>
        <v>0.04</v>
      </c>
    </row>
    <row r="197" spans="1:17" x14ac:dyDescent="0.35">
      <c r="A197" t="s">
        <v>7</v>
      </c>
      <c r="B197" t="s">
        <v>92</v>
      </c>
      <c r="C197" t="s">
        <v>40</v>
      </c>
      <c r="D197" t="s">
        <v>46</v>
      </c>
      <c r="E197" s="9">
        <v>2918</v>
      </c>
      <c r="F197">
        <v>10</v>
      </c>
      <c r="G197">
        <v>300</v>
      </c>
      <c r="H197" s="9">
        <v>875400</v>
      </c>
      <c r="I197" s="9">
        <v>35016</v>
      </c>
      <c r="J197" s="9">
        <v>840384</v>
      </c>
      <c r="K197" s="9">
        <v>729500</v>
      </c>
      <c r="L197" s="9">
        <v>110884</v>
      </c>
      <c r="M197" s="10">
        <v>41760</v>
      </c>
      <c r="N197">
        <v>5</v>
      </c>
      <c r="O197" t="s">
        <v>25</v>
      </c>
      <c r="P197" t="s">
        <v>15</v>
      </c>
      <c r="Q197" s="15">
        <f>Table2[[#This Row],[Discounts]]/Table2[[#This Row],[Gross Sales]]</f>
        <v>0.04</v>
      </c>
    </row>
    <row r="198" spans="1:17" x14ac:dyDescent="0.35">
      <c r="A198" t="s">
        <v>10</v>
      </c>
      <c r="B198" t="s">
        <v>92</v>
      </c>
      <c r="C198" t="s">
        <v>40</v>
      </c>
      <c r="D198" t="s">
        <v>46</v>
      </c>
      <c r="E198" s="9">
        <v>3450</v>
      </c>
      <c r="F198">
        <v>10</v>
      </c>
      <c r="G198">
        <v>350</v>
      </c>
      <c r="H198" s="9">
        <v>1207500</v>
      </c>
      <c r="I198" s="9">
        <v>48300</v>
      </c>
      <c r="J198" s="9">
        <v>1159200</v>
      </c>
      <c r="K198" s="9">
        <v>897000</v>
      </c>
      <c r="L198" s="9">
        <v>262200</v>
      </c>
      <c r="M198" s="10">
        <v>41821</v>
      </c>
      <c r="N198">
        <v>7</v>
      </c>
      <c r="O198" t="s">
        <v>27</v>
      </c>
      <c r="P198" t="s">
        <v>15</v>
      </c>
      <c r="Q198" s="15">
        <f>Table2[[#This Row],[Discounts]]/Table2[[#This Row],[Gross Sales]]</f>
        <v>0.04</v>
      </c>
    </row>
    <row r="199" spans="1:17" x14ac:dyDescent="0.35">
      <c r="A199" t="s">
        <v>9</v>
      </c>
      <c r="B199" t="s">
        <v>18</v>
      </c>
      <c r="C199" t="s">
        <v>40</v>
      </c>
      <c r="D199" t="s">
        <v>46</v>
      </c>
      <c r="E199" s="9">
        <v>2988</v>
      </c>
      <c r="F199">
        <v>10</v>
      </c>
      <c r="G199">
        <v>125</v>
      </c>
      <c r="H199" s="9">
        <v>373500</v>
      </c>
      <c r="I199" s="9">
        <v>14940</v>
      </c>
      <c r="J199" s="9">
        <v>358560</v>
      </c>
      <c r="K199" s="9">
        <v>358560</v>
      </c>
      <c r="L199" s="9">
        <v>0</v>
      </c>
      <c r="M199" s="10">
        <v>41821</v>
      </c>
      <c r="N199">
        <v>7</v>
      </c>
      <c r="O199" t="s">
        <v>27</v>
      </c>
      <c r="P199" t="s">
        <v>15</v>
      </c>
      <c r="Q199" s="15">
        <f>Table2[[#This Row],[Discounts]]/Table2[[#This Row],[Gross Sales]]</f>
        <v>0.04</v>
      </c>
    </row>
    <row r="200" spans="1:17" x14ac:dyDescent="0.35">
      <c r="A200" t="s">
        <v>8</v>
      </c>
      <c r="B200" t="s">
        <v>16</v>
      </c>
      <c r="C200" t="s">
        <v>40</v>
      </c>
      <c r="D200" t="s">
        <v>46</v>
      </c>
      <c r="E200" s="9">
        <v>218</v>
      </c>
      <c r="F200">
        <v>10</v>
      </c>
      <c r="G200">
        <v>15</v>
      </c>
      <c r="H200" s="9">
        <v>3270</v>
      </c>
      <c r="I200" s="9">
        <v>130.80000000000001</v>
      </c>
      <c r="J200" s="9">
        <v>3139.2</v>
      </c>
      <c r="K200" s="9">
        <v>2180</v>
      </c>
      <c r="L200" s="9">
        <v>959.19999999999982</v>
      </c>
      <c r="M200" s="10">
        <v>41883</v>
      </c>
      <c r="N200">
        <v>9</v>
      </c>
      <c r="O200" t="s">
        <v>29</v>
      </c>
      <c r="P200" t="s">
        <v>15</v>
      </c>
      <c r="Q200" s="15">
        <f>Table2[[#This Row],[Discounts]]/Table2[[#This Row],[Gross Sales]]</f>
        <v>0.04</v>
      </c>
    </row>
    <row r="201" spans="1:17" x14ac:dyDescent="0.35">
      <c r="A201" t="s">
        <v>10</v>
      </c>
      <c r="B201" t="s">
        <v>16</v>
      </c>
      <c r="C201" t="s">
        <v>40</v>
      </c>
      <c r="D201" t="s">
        <v>46</v>
      </c>
      <c r="E201" s="9">
        <v>2074</v>
      </c>
      <c r="F201">
        <v>10</v>
      </c>
      <c r="G201">
        <v>20</v>
      </c>
      <c r="H201" s="9">
        <v>41480</v>
      </c>
      <c r="I201" s="9">
        <v>1659.2</v>
      </c>
      <c r="J201" s="9">
        <v>39820.800000000003</v>
      </c>
      <c r="K201" s="9">
        <v>20740</v>
      </c>
      <c r="L201" s="9">
        <v>19080.800000000003</v>
      </c>
      <c r="M201" s="10">
        <v>41883</v>
      </c>
      <c r="N201">
        <v>9</v>
      </c>
      <c r="O201" t="s">
        <v>29</v>
      </c>
      <c r="P201" t="s">
        <v>15</v>
      </c>
      <c r="Q201" s="15">
        <f>Table2[[#This Row],[Discounts]]/Table2[[#This Row],[Gross Sales]]</f>
        <v>0.04</v>
      </c>
    </row>
    <row r="202" spans="1:17" x14ac:dyDescent="0.35">
      <c r="A202" t="s">
        <v>10</v>
      </c>
      <c r="B202" t="s">
        <v>92</v>
      </c>
      <c r="C202" t="s">
        <v>40</v>
      </c>
      <c r="D202" t="s">
        <v>46</v>
      </c>
      <c r="E202" s="9">
        <v>1056</v>
      </c>
      <c r="F202">
        <v>10</v>
      </c>
      <c r="G202">
        <v>20</v>
      </c>
      <c r="H202" s="9">
        <v>21120</v>
      </c>
      <c r="I202" s="9">
        <v>844.8</v>
      </c>
      <c r="J202" s="9">
        <v>20275.2</v>
      </c>
      <c r="K202" s="9">
        <v>10560</v>
      </c>
      <c r="L202" s="9">
        <v>9715.2000000000007</v>
      </c>
      <c r="M202" s="10">
        <v>41883</v>
      </c>
      <c r="N202">
        <v>9</v>
      </c>
      <c r="O202" t="s">
        <v>29</v>
      </c>
      <c r="P202" t="s">
        <v>15</v>
      </c>
      <c r="Q202" s="15">
        <f>Table2[[#This Row],[Discounts]]/Table2[[#This Row],[Gross Sales]]</f>
        <v>0.04</v>
      </c>
    </row>
    <row r="203" spans="1:17" x14ac:dyDescent="0.35">
      <c r="A203" t="s">
        <v>8</v>
      </c>
      <c r="B203" t="s">
        <v>92</v>
      </c>
      <c r="C203" t="s">
        <v>40</v>
      </c>
      <c r="D203" t="s">
        <v>46</v>
      </c>
      <c r="E203" s="9">
        <v>671</v>
      </c>
      <c r="F203">
        <v>10</v>
      </c>
      <c r="G203">
        <v>15</v>
      </c>
      <c r="H203" s="9">
        <v>10065</v>
      </c>
      <c r="I203" s="9">
        <v>402.6</v>
      </c>
      <c r="J203" s="9">
        <v>9662.4</v>
      </c>
      <c r="K203" s="9">
        <v>6710</v>
      </c>
      <c r="L203" s="9">
        <v>2952.3999999999996</v>
      </c>
      <c r="M203" s="10">
        <v>41548</v>
      </c>
      <c r="N203">
        <v>10</v>
      </c>
      <c r="O203" t="s">
        <v>30</v>
      </c>
      <c r="P203" t="s">
        <v>14</v>
      </c>
      <c r="Q203" s="15">
        <f>Table2[[#This Row],[Discounts]]/Table2[[#This Row],[Gross Sales]]</f>
        <v>0.04</v>
      </c>
    </row>
    <row r="204" spans="1:17" x14ac:dyDescent="0.35">
      <c r="A204" t="s">
        <v>8</v>
      </c>
      <c r="B204" t="s">
        <v>20</v>
      </c>
      <c r="C204" t="s">
        <v>40</v>
      </c>
      <c r="D204" t="s">
        <v>46</v>
      </c>
      <c r="E204" s="9">
        <v>1514</v>
      </c>
      <c r="F204">
        <v>10</v>
      </c>
      <c r="G204">
        <v>15</v>
      </c>
      <c r="H204" s="9">
        <v>22710</v>
      </c>
      <c r="I204" s="9">
        <v>908.4</v>
      </c>
      <c r="J204" s="9">
        <v>21801.599999999999</v>
      </c>
      <c r="K204" s="9">
        <v>15140</v>
      </c>
      <c r="L204" s="9">
        <v>6661.5999999999985</v>
      </c>
      <c r="M204" s="10">
        <v>41548</v>
      </c>
      <c r="N204">
        <v>10</v>
      </c>
      <c r="O204" t="s">
        <v>30</v>
      </c>
      <c r="P204" t="s">
        <v>14</v>
      </c>
      <c r="Q204" s="15">
        <f>Table2[[#This Row],[Discounts]]/Table2[[#This Row],[Gross Sales]]</f>
        <v>0.04</v>
      </c>
    </row>
    <row r="205" spans="1:17" x14ac:dyDescent="0.35">
      <c r="A205" t="s">
        <v>10</v>
      </c>
      <c r="B205" t="s">
        <v>92</v>
      </c>
      <c r="C205" t="s">
        <v>40</v>
      </c>
      <c r="D205" t="s">
        <v>46</v>
      </c>
      <c r="E205" s="9">
        <v>274</v>
      </c>
      <c r="F205">
        <v>10</v>
      </c>
      <c r="G205">
        <v>350</v>
      </c>
      <c r="H205" s="9">
        <v>95900</v>
      </c>
      <c r="I205" s="9">
        <v>3836</v>
      </c>
      <c r="J205" s="9">
        <v>92064</v>
      </c>
      <c r="K205" s="9">
        <v>71240</v>
      </c>
      <c r="L205" s="9">
        <v>20824</v>
      </c>
      <c r="M205" s="10">
        <v>41974</v>
      </c>
      <c r="N205">
        <v>12</v>
      </c>
      <c r="O205" t="s">
        <v>32</v>
      </c>
      <c r="P205" t="s">
        <v>15</v>
      </c>
      <c r="Q205" s="15">
        <f>Table2[[#This Row],[Discounts]]/Table2[[#This Row],[Gross Sales]]</f>
        <v>0.04</v>
      </c>
    </row>
    <row r="206" spans="1:17" x14ac:dyDescent="0.35">
      <c r="A206" t="s">
        <v>9</v>
      </c>
      <c r="B206" t="s">
        <v>20</v>
      </c>
      <c r="C206" t="s">
        <v>40</v>
      </c>
      <c r="D206" t="s">
        <v>46</v>
      </c>
      <c r="E206" s="9">
        <v>1138</v>
      </c>
      <c r="F206">
        <v>10</v>
      </c>
      <c r="G206">
        <v>125</v>
      </c>
      <c r="H206" s="9">
        <v>142250</v>
      </c>
      <c r="I206" s="9">
        <v>5690</v>
      </c>
      <c r="J206" s="9">
        <v>136560</v>
      </c>
      <c r="K206" s="9">
        <v>136560</v>
      </c>
      <c r="L206" s="9">
        <v>0</v>
      </c>
      <c r="M206" s="10">
        <v>41974</v>
      </c>
      <c r="N206">
        <v>12</v>
      </c>
      <c r="O206" t="s">
        <v>32</v>
      </c>
      <c r="P206" t="s">
        <v>15</v>
      </c>
      <c r="Q206" s="15">
        <f>Table2[[#This Row],[Discounts]]/Table2[[#This Row],[Gross Sales]]</f>
        <v>0.04</v>
      </c>
    </row>
    <row r="207" spans="1:17" x14ac:dyDescent="0.35">
      <c r="A207" t="s">
        <v>11</v>
      </c>
      <c r="B207" t="s">
        <v>92</v>
      </c>
      <c r="C207" t="s">
        <v>41</v>
      </c>
      <c r="D207" t="s">
        <v>46</v>
      </c>
      <c r="E207" s="9">
        <v>1465</v>
      </c>
      <c r="F207">
        <v>120</v>
      </c>
      <c r="G207">
        <v>12</v>
      </c>
      <c r="H207" s="9">
        <v>17580</v>
      </c>
      <c r="I207" s="9">
        <v>703.2</v>
      </c>
      <c r="J207" s="9">
        <v>16876.8</v>
      </c>
      <c r="K207" s="9">
        <v>4395</v>
      </c>
      <c r="L207" s="9">
        <v>12481.8</v>
      </c>
      <c r="M207" s="10">
        <v>41699</v>
      </c>
      <c r="N207">
        <v>3</v>
      </c>
      <c r="O207" t="s">
        <v>23</v>
      </c>
      <c r="P207" t="s">
        <v>15</v>
      </c>
      <c r="Q207" s="15">
        <f>Table2[[#This Row],[Discounts]]/Table2[[#This Row],[Gross Sales]]</f>
        <v>0.04</v>
      </c>
    </row>
    <row r="208" spans="1:17" x14ac:dyDescent="0.35">
      <c r="A208" t="s">
        <v>10</v>
      </c>
      <c r="B208" t="s">
        <v>16</v>
      </c>
      <c r="C208" t="s">
        <v>41</v>
      </c>
      <c r="D208" t="s">
        <v>46</v>
      </c>
      <c r="E208" s="9">
        <v>2646</v>
      </c>
      <c r="F208">
        <v>120</v>
      </c>
      <c r="G208">
        <v>20</v>
      </c>
      <c r="H208" s="9">
        <v>52920</v>
      </c>
      <c r="I208" s="9">
        <v>2116.8000000000002</v>
      </c>
      <c r="J208" s="9">
        <v>50803.199999999997</v>
      </c>
      <c r="K208" s="9">
        <v>26460</v>
      </c>
      <c r="L208" s="9">
        <v>24343.199999999997</v>
      </c>
      <c r="M208" s="10">
        <v>41518</v>
      </c>
      <c r="N208">
        <v>9</v>
      </c>
      <c r="O208" t="s">
        <v>29</v>
      </c>
      <c r="P208" t="s">
        <v>14</v>
      </c>
      <c r="Q208" s="15">
        <f>Table2[[#This Row],[Discounts]]/Table2[[#This Row],[Gross Sales]]</f>
        <v>0.04</v>
      </c>
    </row>
    <row r="209" spans="1:17" x14ac:dyDescent="0.35">
      <c r="A209" t="s">
        <v>10</v>
      </c>
      <c r="B209" t="s">
        <v>18</v>
      </c>
      <c r="C209" t="s">
        <v>41</v>
      </c>
      <c r="D209" t="s">
        <v>46</v>
      </c>
      <c r="E209" s="9">
        <v>2177</v>
      </c>
      <c r="F209">
        <v>120</v>
      </c>
      <c r="G209">
        <v>350</v>
      </c>
      <c r="H209" s="9">
        <v>761950</v>
      </c>
      <c r="I209" s="9">
        <v>30478</v>
      </c>
      <c r="J209" s="9">
        <v>731472</v>
      </c>
      <c r="K209" s="9">
        <v>566020</v>
      </c>
      <c r="L209" s="9">
        <v>165452</v>
      </c>
      <c r="M209" s="10">
        <v>41913</v>
      </c>
      <c r="N209">
        <v>10</v>
      </c>
      <c r="O209" t="s">
        <v>30</v>
      </c>
      <c r="P209" t="s">
        <v>15</v>
      </c>
      <c r="Q209" s="15">
        <f>Table2[[#This Row],[Discounts]]/Table2[[#This Row],[Gross Sales]]</f>
        <v>0.04</v>
      </c>
    </row>
    <row r="210" spans="1:17" x14ac:dyDescent="0.35">
      <c r="A210" t="s">
        <v>11</v>
      </c>
      <c r="B210" t="s">
        <v>18</v>
      </c>
      <c r="C210" t="s">
        <v>42</v>
      </c>
      <c r="D210" t="s">
        <v>46</v>
      </c>
      <c r="E210" s="9">
        <v>866</v>
      </c>
      <c r="F210">
        <v>250</v>
      </c>
      <c r="G210">
        <v>12</v>
      </c>
      <c r="H210" s="9">
        <v>10392</v>
      </c>
      <c r="I210" s="9">
        <v>415.68</v>
      </c>
      <c r="J210" s="9">
        <v>9976.32</v>
      </c>
      <c r="K210" s="9">
        <v>2598</v>
      </c>
      <c r="L210" s="9">
        <v>7378.32</v>
      </c>
      <c r="M210" s="10">
        <v>41760</v>
      </c>
      <c r="N210">
        <v>5</v>
      </c>
      <c r="O210" t="s">
        <v>25</v>
      </c>
      <c r="P210" t="s">
        <v>15</v>
      </c>
      <c r="Q210" s="15">
        <f>Table2[[#This Row],[Discounts]]/Table2[[#This Row],[Gross Sales]]</f>
        <v>0.04</v>
      </c>
    </row>
    <row r="211" spans="1:17" x14ac:dyDescent="0.35">
      <c r="A211" t="s">
        <v>10</v>
      </c>
      <c r="B211" t="s">
        <v>92</v>
      </c>
      <c r="C211" t="s">
        <v>42</v>
      </c>
      <c r="D211" t="s">
        <v>46</v>
      </c>
      <c r="E211" s="9">
        <v>349</v>
      </c>
      <c r="F211">
        <v>250</v>
      </c>
      <c r="G211">
        <v>350</v>
      </c>
      <c r="H211" s="9">
        <v>122150</v>
      </c>
      <c r="I211" s="9">
        <v>4886</v>
      </c>
      <c r="J211" s="9">
        <v>117264</v>
      </c>
      <c r="K211" s="9">
        <v>90740</v>
      </c>
      <c r="L211" s="9">
        <v>26524</v>
      </c>
      <c r="M211" s="10">
        <v>41518</v>
      </c>
      <c r="N211">
        <v>9</v>
      </c>
      <c r="O211" t="s">
        <v>29</v>
      </c>
      <c r="P211" t="s">
        <v>14</v>
      </c>
      <c r="Q211" s="15">
        <f>Table2[[#This Row],[Discounts]]/Table2[[#This Row],[Gross Sales]]</f>
        <v>0.04</v>
      </c>
    </row>
    <row r="212" spans="1:17" x14ac:dyDescent="0.35">
      <c r="A212" t="s">
        <v>10</v>
      </c>
      <c r="B212" t="s">
        <v>18</v>
      </c>
      <c r="C212" t="s">
        <v>42</v>
      </c>
      <c r="D212" t="s">
        <v>46</v>
      </c>
      <c r="E212" s="9">
        <v>2177</v>
      </c>
      <c r="F212">
        <v>250</v>
      </c>
      <c r="G212">
        <v>350</v>
      </c>
      <c r="H212" s="9">
        <v>761950</v>
      </c>
      <c r="I212" s="9">
        <v>30478</v>
      </c>
      <c r="J212" s="9">
        <v>731472</v>
      </c>
      <c r="K212" s="9">
        <v>566020</v>
      </c>
      <c r="L212" s="9">
        <v>165452</v>
      </c>
      <c r="M212" s="10">
        <v>41913</v>
      </c>
      <c r="N212">
        <v>10</v>
      </c>
      <c r="O212" t="s">
        <v>30</v>
      </c>
      <c r="P212" t="s">
        <v>15</v>
      </c>
      <c r="Q212" s="15">
        <f>Table2[[#This Row],[Discounts]]/Table2[[#This Row],[Gross Sales]]</f>
        <v>0.04</v>
      </c>
    </row>
    <row r="213" spans="1:17" x14ac:dyDescent="0.35">
      <c r="A213" t="s">
        <v>8</v>
      </c>
      <c r="B213" t="s">
        <v>20</v>
      </c>
      <c r="C213" t="s">
        <v>42</v>
      </c>
      <c r="D213" t="s">
        <v>46</v>
      </c>
      <c r="E213" s="9">
        <v>1514</v>
      </c>
      <c r="F213">
        <v>250</v>
      </c>
      <c r="G213">
        <v>15</v>
      </c>
      <c r="H213" s="9">
        <v>22710</v>
      </c>
      <c r="I213" s="9">
        <v>908.4</v>
      </c>
      <c r="J213" s="9">
        <v>21801.599999999999</v>
      </c>
      <c r="K213" s="9">
        <v>15140</v>
      </c>
      <c r="L213" s="9">
        <v>6661.5999999999985</v>
      </c>
      <c r="M213" s="10">
        <v>41548</v>
      </c>
      <c r="N213">
        <v>10</v>
      </c>
      <c r="O213" t="s">
        <v>30</v>
      </c>
      <c r="P213" t="s">
        <v>14</v>
      </c>
      <c r="Q213" s="15">
        <f>Table2[[#This Row],[Discounts]]/Table2[[#This Row],[Gross Sales]]</f>
        <v>0.04</v>
      </c>
    </row>
    <row r="214" spans="1:17" x14ac:dyDescent="0.35">
      <c r="A214" t="s">
        <v>10</v>
      </c>
      <c r="B214" t="s">
        <v>20</v>
      </c>
      <c r="C214" t="s">
        <v>43</v>
      </c>
      <c r="D214" t="s">
        <v>46</v>
      </c>
      <c r="E214" s="9">
        <v>1865</v>
      </c>
      <c r="F214">
        <v>260</v>
      </c>
      <c r="G214">
        <v>350</v>
      </c>
      <c r="H214" s="9">
        <v>652750</v>
      </c>
      <c r="I214" s="9">
        <v>26110</v>
      </c>
      <c r="J214" s="9">
        <v>626640</v>
      </c>
      <c r="K214" s="9">
        <v>484900</v>
      </c>
      <c r="L214" s="9">
        <v>141740</v>
      </c>
      <c r="M214" s="10">
        <v>41671</v>
      </c>
      <c r="N214">
        <v>2</v>
      </c>
      <c r="O214" t="s">
        <v>22</v>
      </c>
      <c r="P214" t="s">
        <v>15</v>
      </c>
      <c r="Q214" s="15">
        <f>Table2[[#This Row],[Discounts]]/Table2[[#This Row],[Gross Sales]]</f>
        <v>0.04</v>
      </c>
    </row>
    <row r="215" spans="1:17" x14ac:dyDescent="0.35">
      <c r="A215" t="s">
        <v>9</v>
      </c>
      <c r="B215" t="s">
        <v>20</v>
      </c>
      <c r="C215" t="s">
        <v>43</v>
      </c>
      <c r="D215" t="s">
        <v>46</v>
      </c>
      <c r="E215" s="9">
        <v>1074</v>
      </c>
      <c r="F215">
        <v>260</v>
      </c>
      <c r="G215">
        <v>125</v>
      </c>
      <c r="H215" s="9">
        <v>134250</v>
      </c>
      <c r="I215" s="9">
        <v>5370</v>
      </c>
      <c r="J215" s="9">
        <v>128880</v>
      </c>
      <c r="K215" s="9">
        <v>128880</v>
      </c>
      <c r="L215" s="9">
        <v>0</v>
      </c>
      <c r="M215" s="10">
        <v>41730</v>
      </c>
      <c r="N215">
        <v>4</v>
      </c>
      <c r="O215" t="s">
        <v>24</v>
      </c>
      <c r="P215" t="s">
        <v>15</v>
      </c>
      <c r="Q215" s="15">
        <f>Table2[[#This Row],[Discounts]]/Table2[[#This Row],[Gross Sales]]</f>
        <v>0.04</v>
      </c>
    </row>
    <row r="216" spans="1:17" x14ac:dyDescent="0.35">
      <c r="A216" t="s">
        <v>10</v>
      </c>
      <c r="B216" t="s">
        <v>19</v>
      </c>
      <c r="C216" t="s">
        <v>43</v>
      </c>
      <c r="D216" t="s">
        <v>46</v>
      </c>
      <c r="E216" s="9">
        <v>1907</v>
      </c>
      <c r="F216">
        <v>260</v>
      </c>
      <c r="G216">
        <v>350</v>
      </c>
      <c r="H216" s="9">
        <v>667450</v>
      </c>
      <c r="I216" s="9">
        <v>26698</v>
      </c>
      <c r="J216" s="9">
        <v>640752</v>
      </c>
      <c r="K216" s="9">
        <v>495820</v>
      </c>
      <c r="L216" s="9">
        <v>144932</v>
      </c>
      <c r="M216" s="10">
        <v>41883</v>
      </c>
      <c r="N216">
        <v>9</v>
      </c>
      <c r="O216" t="s">
        <v>29</v>
      </c>
      <c r="P216" t="s">
        <v>15</v>
      </c>
      <c r="Q216" s="15">
        <f>Table2[[#This Row],[Discounts]]/Table2[[#This Row],[Gross Sales]]</f>
        <v>0.04</v>
      </c>
    </row>
    <row r="217" spans="1:17" x14ac:dyDescent="0.35">
      <c r="A217" t="s">
        <v>8</v>
      </c>
      <c r="B217" t="s">
        <v>92</v>
      </c>
      <c r="C217" t="s">
        <v>43</v>
      </c>
      <c r="D217" t="s">
        <v>46</v>
      </c>
      <c r="E217" s="9">
        <v>671</v>
      </c>
      <c r="F217">
        <v>260</v>
      </c>
      <c r="G217">
        <v>15</v>
      </c>
      <c r="H217" s="9">
        <v>10065</v>
      </c>
      <c r="I217" s="9">
        <v>402.6</v>
      </c>
      <c r="J217" s="9">
        <v>9662.4</v>
      </c>
      <c r="K217" s="9">
        <v>6710</v>
      </c>
      <c r="L217" s="9">
        <v>2952.3999999999996</v>
      </c>
      <c r="M217" s="10">
        <v>41548</v>
      </c>
      <c r="N217">
        <v>10</v>
      </c>
      <c r="O217" t="s">
        <v>30</v>
      </c>
      <c r="P217" t="s">
        <v>14</v>
      </c>
      <c r="Q217" s="15">
        <f>Table2[[#This Row],[Discounts]]/Table2[[#This Row],[Gross Sales]]</f>
        <v>0.04</v>
      </c>
    </row>
    <row r="218" spans="1:17" x14ac:dyDescent="0.35">
      <c r="A218" t="s">
        <v>10</v>
      </c>
      <c r="B218" t="s">
        <v>16</v>
      </c>
      <c r="C218" t="s">
        <v>43</v>
      </c>
      <c r="D218" t="s">
        <v>46</v>
      </c>
      <c r="E218" s="9">
        <v>1778</v>
      </c>
      <c r="F218">
        <v>260</v>
      </c>
      <c r="G218">
        <v>350</v>
      </c>
      <c r="H218" s="9">
        <v>622300</v>
      </c>
      <c r="I218" s="9">
        <v>24892</v>
      </c>
      <c r="J218" s="9">
        <v>597408</v>
      </c>
      <c r="K218" s="9">
        <v>462280</v>
      </c>
      <c r="L218" s="9">
        <v>135128</v>
      </c>
      <c r="M218" s="10">
        <v>41609</v>
      </c>
      <c r="N218">
        <v>12</v>
      </c>
      <c r="O218" t="s">
        <v>32</v>
      </c>
      <c r="P218" t="s">
        <v>14</v>
      </c>
      <c r="Q218" s="15">
        <f>Table2[[#This Row],[Discounts]]/Table2[[#This Row],[Gross Sales]]</f>
        <v>0.04</v>
      </c>
    </row>
    <row r="219" spans="1:17" x14ac:dyDescent="0.35">
      <c r="A219" t="s">
        <v>10</v>
      </c>
      <c r="B219" t="s">
        <v>19</v>
      </c>
      <c r="C219" t="s">
        <v>39</v>
      </c>
      <c r="D219" t="s">
        <v>47</v>
      </c>
      <c r="E219" s="9">
        <v>1159</v>
      </c>
      <c r="F219">
        <v>5</v>
      </c>
      <c r="G219">
        <v>7</v>
      </c>
      <c r="H219" s="9">
        <v>8113</v>
      </c>
      <c r="I219" s="9">
        <v>405.65</v>
      </c>
      <c r="J219" s="9">
        <v>7707.35</v>
      </c>
      <c r="K219" s="9">
        <v>5795</v>
      </c>
      <c r="L219" s="9">
        <v>1912.3500000000004</v>
      </c>
      <c r="M219" s="10">
        <v>41548</v>
      </c>
      <c r="N219">
        <v>10</v>
      </c>
      <c r="O219" t="s">
        <v>30</v>
      </c>
      <c r="P219" t="s">
        <v>14</v>
      </c>
      <c r="Q219" s="15">
        <f>Table2[[#This Row],[Discounts]]/Table2[[#This Row],[Gross Sales]]</f>
        <v>4.9999999999999996E-2</v>
      </c>
    </row>
    <row r="220" spans="1:17" x14ac:dyDescent="0.35">
      <c r="A220" t="s">
        <v>10</v>
      </c>
      <c r="B220" t="s">
        <v>19</v>
      </c>
      <c r="C220" t="s">
        <v>40</v>
      </c>
      <c r="D220" t="s">
        <v>47</v>
      </c>
      <c r="E220" s="9">
        <v>1372</v>
      </c>
      <c r="F220">
        <v>10</v>
      </c>
      <c r="G220">
        <v>7</v>
      </c>
      <c r="H220" s="9">
        <v>9604</v>
      </c>
      <c r="I220" s="9">
        <v>480.2</v>
      </c>
      <c r="J220" s="9">
        <v>9123.7999999999993</v>
      </c>
      <c r="K220" s="9">
        <v>6860</v>
      </c>
      <c r="L220" s="9">
        <v>2263.7999999999993</v>
      </c>
      <c r="M220" s="10">
        <v>41640</v>
      </c>
      <c r="N220">
        <v>1</v>
      </c>
      <c r="O220" t="s">
        <v>21</v>
      </c>
      <c r="P220" t="s">
        <v>15</v>
      </c>
      <c r="Q220" s="15">
        <f>Table2[[#This Row],[Discounts]]/Table2[[#This Row],[Gross Sales]]</f>
        <v>4.9999999999999996E-2</v>
      </c>
    </row>
    <row r="221" spans="1:17" x14ac:dyDescent="0.35">
      <c r="A221" t="s">
        <v>10</v>
      </c>
      <c r="B221" t="s">
        <v>16</v>
      </c>
      <c r="C221" t="s">
        <v>40</v>
      </c>
      <c r="D221" t="s">
        <v>47</v>
      </c>
      <c r="E221" s="9">
        <v>2349</v>
      </c>
      <c r="F221">
        <v>10</v>
      </c>
      <c r="G221">
        <v>7</v>
      </c>
      <c r="H221" s="9">
        <v>16443</v>
      </c>
      <c r="I221" s="9">
        <v>822.15</v>
      </c>
      <c r="J221" s="9">
        <v>15620.85</v>
      </c>
      <c r="K221" s="9">
        <v>11745</v>
      </c>
      <c r="L221" s="9">
        <v>3875.8500000000004</v>
      </c>
      <c r="M221" s="10">
        <v>41518</v>
      </c>
      <c r="N221">
        <v>9</v>
      </c>
      <c r="O221" t="s">
        <v>29</v>
      </c>
      <c r="P221" t="s">
        <v>14</v>
      </c>
      <c r="Q221" s="15">
        <f>Table2[[#This Row],[Discounts]]/Table2[[#This Row],[Gross Sales]]</f>
        <v>4.9999999999999996E-2</v>
      </c>
    </row>
    <row r="222" spans="1:17" x14ac:dyDescent="0.35">
      <c r="A222" t="s">
        <v>10</v>
      </c>
      <c r="B222" t="s">
        <v>20</v>
      </c>
      <c r="C222" t="s">
        <v>40</v>
      </c>
      <c r="D222" t="s">
        <v>47</v>
      </c>
      <c r="E222" s="9">
        <v>2689</v>
      </c>
      <c r="F222">
        <v>10</v>
      </c>
      <c r="G222">
        <v>7</v>
      </c>
      <c r="H222" s="9">
        <v>18823</v>
      </c>
      <c r="I222" s="9">
        <v>941.15</v>
      </c>
      <c r="J222" s="9">
        <v>17881.849999999999</v>
      </c>
      <c r="K222" s="9">
        <v>13445</v>
      </c>
      <c r="L222" s="9">
        <v>4436.8499999999985</v>
      </c>
      <c r="M222" s="10">
        <v>41913</v>
      </c>
      <c r="N222">
        <v>10</v>
      </c>
      <c r="O222" t="s">
        <v>30</v>
      </c>
      <c r="P222" t="s">
        <v>15</v>
      </c>
      <c r="Q222" s="15">
        <f>Table2[[#This Row],[Discounts]]/Table2[[#This Row],[Gross Sales]]</f>
        <v>4.9999999999999996E-2</v>
      </c>
    </row>
    <row r="223" spans="1:17" x14ac:dyDescent="0.35">
      <c r="A223" t="s">
        <v>11</v>
      </c>
      <c r="B223" t="s">
        <v>16</v>
      </c>
      <c r="C223" t="s">
        <v>40</v>
      </c>
      <c r="D223" t="s">
        <v>47</v>
      </c>
      <c r="E223" s="9">
        <v>2431</v>
      </c>
      <c r="F223">
        <v>10</v>
      </c>
      <c r="G223">
        <v>12</v>
      </c>
      <c r="H223" s="9">
        <v>29172</v>
      </c>
      <c r="I223" s="9">
        <v>1458.6</v>
      </c>
      <c r="J223" s="9">
        <v>27713.4</v>
      </c>
      <c r="K223" s="9">
        <v>7293</v>
      </c>
      <c r="L223" s="9">
        <v>20420.400000000001</v>
      </c>
      <c r="M223" s="10">
        <v>41974</v>
      </c>
      <c r="N223">
        <v>12</v>
      </c>
      <c r="O223" t="s">
        <v>32</v>
      </c>
      <c r="P223" t="s">
        <v>15</v>
      </c>
      <c r="Q223" s="15">
        <f>Table2[[#This Row],[Discounts]]/Table2[[#This Row],[Gross Sales]]</f>
        <v>4.9999999999999996E-2</v>
      </c>
    </row>
    <row r="224" spans="1:17" x14ac:dyDescent="0.35">
      <c r="A224" t="s">
        <v>11</v>
      </c>
      <c r="B224" t="s">
        <v>16</v>
      </c>
      <c r="C224" t="s">
        <v>41</v>
      </c>
      <c r="D224" t="s">
        <v>47</v>
      </c>
      <c r="E224" s="9">
        <v>2431</v>
      </c>
      <c r="F224">
        <v>120</v>
      </c>
      <c r="G224">
        <v>12</v>
      </c>
      <c r="H224" s="9">
        <v>29172</v>
      </c>
      <c r="I224" s="9">
        <v>1458.6</v>
      </c>
      <c r="J224" s="9">
        <v>27713.4</v>
      </c>
      <c r="K224" s="9">
        <v>7293</v>
      </c>
      <c r="L224" s="9">
        <v>20420.400000000001</v>
      </c>
      <c r="M224" s="10">
        <v>41974</v>
      </c>
      <c r="N224">
        <v>12</v>
      </c>
      <c r="O224" t="s">
        <v>32</v>
      </c>
      <c r="P224" t="s">
        <v>15</v>
      </c>
      <c r="Q224" s="15">
        <f>Table2[[#This Row],[Discounts]]/Table2[[#This Row],[Gross Sales]]</f>
        <v>4.9999999999999996E-2</v>
      </c>
    </row>
    <row r="225" spans="1:17" x14ac:dyDescent="0.35">
      <c r="A225" t="s">
        <v>10</v>
      </c>
      <c r="B225" t="s">
        <v>20</v>
      </c>
      <c r="C225" t="s">
        <v>42</v>
      </c>
      <c r="D225" t="s">
        <v>47</v>
      </c>
      <c r="E225" s="9">
        <v>2689</v>
      </c>
      <c r="F225">
        <v>250</v>
      </c>
      <c r="G225">
        <v>7</v>
      </c>
      <c r="H225" s="9">
        <v>18823</v>
      </c>
      <c r="I225" s="9">
        <v>941.15</v>
      </c>
      <c r="J225" s="9">
        <v>17881.849999999999</v>
      </c>
      <c r="K225" s="9">
        <v>13445</v>
      </c>
      <c r="L225" s="9">
        <v>4436.8499999999985</v>
      </c>
      <c r="M225" s="10">
        <v>41913</v>
      </c>
      <c r="N225">
        <v>10</v>
      </c>
      <c r="O225" t="s">
        <v>30</v>
      </c>
      <c r="P225" t="s">
        <v>15</v>
      </c>
      <c r="Q225" s="15">
        <f>Table2[[#This Row],[Discounts]]/Table2[[#This Row],[Gross Sales]]</f>
        <v>4.9999999999999996E-2</v>
      </c>
    </row>
    <row r="226" spans="1:17" x14ac:dyDescent="0.35">
      <c r="A226" t="s">
        <v>10</v>
      </c>
      <c r="B226" t="s">
        <v>20</v>
      </c>
      <c r="C226" t="s">
        <v>43</v>
      </c>
      <c r="D226" t="s">
        <v>47</v>
      </c>
      <c r="E226" s="9">
        <v>1683</v>
      </c>
      <c r="F226">
        <v>260</v>
      </c>
      <c r="G226">
        <v>7</v>
      </c>
      <c r="H226" s="9">
        <v>11781</v>
      </c>
      <c r="I226" s="9">
        <v>589.04999999999995</v>
      </c>
      <c r="J226" s="9">
        <v>11191.95</v>
      </c>
      <c r="K226" s="9">
        <v>8415</v>
      </c>
      <c r="L226" s="9">
        <v>2776.9500000000007</v>
      </c>
      <c r="M226" s="10">
        <v>41821</v>
      </c>
      <c r="N226">
        <v>7</v>
      </c>
      <c r="O226" t="s">
        <v>27</v>
      </c>
      <c r="P226" t="s">
        <v>15</v>
      </c>
      <c r="Q226" s="15">
        <f>Table2[[#This Row],[Discounts]]/Table2[[#This Row],[Gross Sales]]</f>
        <v>4.9999999999999996E-2</v>
      </c>
    </row>
    <row r="227" spans="1:17" x14ac:dyDescent="0.35">
      <c r="A227" t="s">
        <v>11</v>
      </c>
      <c r="B227" t="s">
        <v>20</v>
      </c>
      <c r="C227" t="s">
        <v>43</v>
      </c>
      <c r="D227" t="s">
        <v>47</v>
      </c>
      <c r="E227" s="9">
        <v>1123</v>
      </c>
      <c r="F227">
        <v>260</v>
      </c>
      <c r="G227">
        <v>12</v>
      </c>
      <c r="H227" s="9">
        <v>13476</v>
      </c>
      <c r="I227" s="9">
        <v>673.8</v>
      </c>
      <c r="J227" s="9">
        <v>12802.2</v>
      </c>
      <c r="K227" s="9">
        <v>3369</v>
      </c>
      <c r="L227" s="9">
        <v>9433.2000000000007</v>
      </c>
      <c r="M227" s="10">
        <v>41852</v>
      </c>
      <c r="N227">
        <v>8</v>
      </c>
      <c r="O227" t="s">
        <v>28</v>
      </c>
      <c r="P227" t="s">
        <v>15</v>
      </c>
      <c r="Q227" s="15">
        <f>Table2[[#This Row],[Discounts]]/Table2[[#This Row],[Gross Sales]]</f>
        <v>4.9999999999999996E-2</v>
      </c>
    </row>
    <row r="228" spans="1:17" x14ac:dyDescent="0.35">
      <c r="A228" t="s">
        <v>10</v>
      </c>
      <c r="B228" t="s">
        <v>19</v>
      </c>
      <c r="C228" t="s">
        <v>43</v>
      </c>
      <c r="D228" t="s">
        <v>47</v>
      </c>
      <c r="E228" s="9">
        <v>1159</v>
      </c>
      <c r="F228">
        <v>260</v>
      </c>
      <c r="G228">
        <v>7</v>
      </c>
      <c r="H228" s="9">
        <v>8113</v>
      </c>
      <c r="I228" s="9">
        <v>405.65</v>
      </c>
      <c r="J228" s="9">
        <v>7707.35</v>
      </c>
      <c r="K228" s="9">
        <v>5795</v>
      </c>
      <c r="L228" s="9">
        <v>1912.3500000000004</v>
      </c>
      <c r="M228" s="10">
        <v>41548</v>
      </c>
      <c r="N228">
        <v>10</v>
      </c>
      <c r="O228" t="s">
        <v>30</v>
      </c>
      <c r="P228" t="s">
        <v>14</v>
      </c>
      <c r="Q228" s="15">
        <f>Table2[[#This Row],[Discounts]]/Table2[[#This Row],[Gross Sales]]</f>
        <v>4.9999999999999996E-2</v>
      </c>
    </row>
    <row r="229" spans="1:17" x14ac:dyDescent="0.35">
      <c r="A229" t="s">
        <v>11</v>
      </c>
      <c r="B229" t="s">
        <v>18</v>
      </c>
      <c r="C229" t="s">
        <v>38</v>
      </c>
      <c r="D229" t="s">
        <v>47</v>
      </c>
      <c r="E229" s="9">
        <v>1865</v>
      </c>
      <c r="F229">
        <v>3</v>
      </c>
      <c r="G229">
        <v>12</v>
      </c>
      <c r="H229" s="9">
        <v>22380</v>
      </c>
      <c r="I229" s="9">
        <v>1119</v>
      </c>
      <c r="J229" s="9">
        <v>21261</v>
      </c>
      <c r="K229" s="9">
        <v>5595</v>
      </c>
      <c r="L229" s="9">
        <v>15666</v>
      </c>
      <c r="M229" s="10">
        <v>41671</v>
      </c>
      <c r="N229">
        <v>2</v>
      </c>
      <c r="O229" t="s">
        <v>22</v>
      </c>
      <c r="P229" t="s">
        <v>15</v>
      </c>
      <c r="Q229" s="15">
        <f>Table2[[#This Row],[Discounts]]/Table2[[#This Row],[Gross Sales]]</f>
        <v>0.05</v>
      </c>
    </row>
    <row r="230" spans="1:17" x14ac:dyDescent="0.35">
      <c r="A230" t="s">
        <v>11</v>
      </c>
      <c r="B230" t="s">
        <v>19</v>
      </c>
      <c r="C230" t="s">
        <v>38</v>
      </c>
      <c r="D230" t="s">
        <v>47</v>
      </c>
      <c r="E230" s="9">
        <v>1116</v>
      </c>
      <c r="F230">
        <v>3</v>
      </c>
      <c r="G230">
        <v>12</v>
      </c>
      <c r="H230" s="9">
        <v>13392</v>
      </c>
      <c r="I230" s="9">
        <v>669.6</v>
      </c>
      <c r="J230" s="9">
        <v>12722.4</v>
      </c>
      <c r="K230" s="9">
        <v>3348</v>
      </c>
      <c r="L230" s="9">
        <v>9374.4</v>
      </c>
      <c r="M230" s="10">
        <v>41671</v>
      </c>
      <c r="N230">
        <v>2</v>
      </c>
      <c r="O230" t="s">
        <v>22</v>
      </c>
      <c r="P230" t="s">
        <v>15</v>
      </c>
      <c r="Q230" s="15">
        <f>Table2[[#This Row],[Discounts]]/Table2[[#This Row],[Gross Sales]]</f>
        <v>0.05</v>
      </c>
    </row>
    <row r="231" spans="1:17" x14ac:dyDescent="0.35">
      <c r="A231" t="s">
        <v>10</v>
      </c>
      <c r="B231" t="s">
        <v>18</v>
      </c>
      <c r="C231" t="s">
        <v>38</v>
      </c>
      <c r="D231" t="s">
        <v>47</v>
      </c>
      <c r="E231" s="9">
        <v>1563</v>
      </c>
      <c r="F231">
        <v>3</v>
      </c>
      <c r="G231">
        <v>20</v>
      </c>
      <c r="H231" s="9">
        <v>31260</v>
      </c>
      <c r="I231" s="9">
        <v>1563</v>
      </c>
      <c r="J231" s="9">
        <v>29697</v>
      </c>
      <c r="K231" s="9">
        <v>15630</v>
      </c>
      <c r="L231" s="9">
        <v>14067</v>
      </c>
      <c r="M231" s="10">
        <v>41760</v>
      </c>
      <c r="N231">
        <v>5</v>
      </c>
      <c r="O231" t="s">
        <v>25</v>
      </c>
      <c r="P231" t="s">
        <v>15</v>
      </c>
      <c r="Q231" s="15">
        <f>Table2[[#This Row],[Discounts]]/Table2[[#This Row],[Gross Sales]]</f>
        <v>0.05</v>
      </c>
    </row>
    <row r="232" spans="1:17" x14ac:dyDescent="0.35">
      <c r="A232" t="s">
        <v>7</v>
      </c>
      <c r="B232" t="s">
        <v>92</v>
      </c>
      <c r="C232" t="s">
        <v>38</v>
      </c>
      <c r="D232" t="s">
        <v>47</v>
      </c>
      <c r="E232" s="9">
        <v>991</v>
      </c>
      <c r="F232">
        <v>3</v>
      </c>
      <c r="G232">
        <v>300</v>
      </c>
      <c r="H232" s="9">
        <v>297300</v>
      </c>
      <c r="I232" s="9">
        <v>14865</v>
      </c>
      <c r="J232" s="9">
        <v>282435</v>
      </c>
      <c r="K232" s="9">
        <v>247750</v>
      </c>
      <c r="L232" s="9">
        <v>34685</v>
      </c>
      <c r="M232" s="10">
        <v>41791</v>
      </c>
      <c r="N232">
        <v>6</v>
      </c>
      <c r="O232" t="s">
        <v>26</v>
      </c>
      <c r="P232" t="s">
        <v>15</v>
      </c>
      <c r="Q232" s="15">
        <f>Table2[[#This Row],[Discounts]]/Table2[[#This Row],[Gross Sales]]</f>
        <v>0.05</v>
      </c>
    </row>
    <row r="233" spans="1:17" x14ac:dyDescent="0.35">
      <c r="A233" t="s">
        <v>10</v>
      </c>
      <c r="B233" t="s">
        <v>19</v>
      </c>
      <c r="C233" t="s">
        <v>38</v>
      </c>
      <c r="D233" t="s">
        <v>47</v>
      </c>
      <c r="E233" s="9">
        <v>1016</v>
      </c>
      <c r="F233">
        <v>3</v>
      </c>
      <c r="G233">
        <v>7</v>
      </c>
      <c r="H233" s="9">
        <v>7112</v>
      </c>
      <c r="I233" s="9">
        <v>355.6</v>
      </c>
      <c r="J233" s="9">
        <v>6756.4</v>
      </c>
      <c r="K233" s="9">
        <v>5080</v>
      </c>
      <c r="L233" s="9">
        <v>1676.3999999999996</v>
      </c>
      <c r="M233" s="10">
        <v>41579</v>
      </c>
      <c r="N233">
        <v>11</v>
      </c>
      <c r="O233" t="s">
        <v>31</v>
      </c>
      <c r="P233" t="s">
        <v>14</v>
      </c>
      <c r="Q233" s="15">
        <f>Table2[[#This Row],[Discounts]]/Table2[[#This Row],[Gross Sales]]</f>
        <v>0.05</v>
      </c>
    </row>
    <row r="234" spans="1:17" x14ac:dyDescent="0.35">
      <c r="A234" t="s">
        <v>8</v>
      </c>
      <c r="B234" t="s">
        <v>20</v>
      </c>
      <c r="C234" t="s">
        <v>38</v>
      </c>
      <c r="D234" t="s">
        <v>47</v>
      </c>
      <c r="E234" s="9">
        <v>2791</v>
      </c>
      <c r="F234">
        <v>3</v>
      </c>
      <c r="G234">
        <v>15</v>
      </c>
      <c r="H234" s="9">
        <v>41865</v>
      </c>
      <c r="I234" s="9">
        <v>2093.25</v>
      </c>
      <c r="J234" s="9">
        <v>39771.75</v>
      </c>
      <c r="K234" s="9">
        <v>27910</v>
      </c>
      <c r="L234" s="9">
        <v>11861.75</v>
      </c>
      <c r="M234" s="10">
        <v>41944</v>
      </c>
      <c r="N234">
        <v>11</v>
      </c>
      <c r="O234" t="s">
        <v>31</v>
      </c>
      <c r="P234" t="s">
        <v>15</v>
      </c>
      <c r="Q234" s="15">
        <f>Table2[[#This Row],[Discounts]]/Table2[[#This Row],[Gross Sales]]</f>
        <v>0.05</v>
      </c>
    </row>
    <row r="235" spans="1:17" x14ac:dyDescent="0.35">
      <c r="A235" t="s">
        <v>10</v>
      </c>
      <c r="B235" t="s">
        <v>92</v>
      </c>
      <c r="C235" t="s">
        <v>38</v>
      </c>
      <c r="D235" t="s">
        <v>47</v>
      </c>
      <c r="E235" s="9">
        <v>570</v>
      </c>
      <c r="F235">
        <v>3</v>
      </c>
      <c r="G235">
        <v>7</v>
      </c>
      <c r="H235" s="9">
        <v>3990</v>
      </c>
      <c r="I235" s="9">
        <v>199.5</v>
      </c>
      <c r="J235" s="9">
        <v>3790.5</v>
      </c>
      <c r="K235" s="9">
        <v>2850</v>
      </c>
      <c r="L235" s="9">
        <v>940.5</v>
      </c>
      <c r="M235" s="10">
        <v>41974</v>
      </c>
      <c r="N235">
        <v>12</v>
      </c>
      <c r="O235" t="s">
        <v>32</v>
      </c>
      <c r="P235" t="s">
        <v>15</v>
      </c>
      <c r="Q235" s="15">
        <f>Table2[[#This Row],[Discounts]]/Table2[[#This Row],[Gross Sales]]</f>
        <v>0.05</v>
      </c>
    </row>
    <row r="236" spans="1:17" x14ac:dyDescent="0.35">
      <c r="A236" t="s">
        <v>10</v>
      </c>
      <c r="B236" t="s">
        <v>18</v>
      </c>
      <c r="C236" t="s">
        <v>38</v>
      </c>
      <c r="D236" t="s">
        <v>47</v>
      </c>
      <c r="E236" s="9">
        <v>2487</v>
      </c>
      <c r="F236">
        <v>3</v>
      </c>
      <c r="G236">
        <v>7</v>
      </c>
      <c r="H236" s="9">
        <v>17409</v>
      </c>
      <c r="I236" s="9">
        <v>870.45</v>
      </c>
      <c r="J236" s="9">
        <v>16538.55</v>
      </c>
      <c r="K236" s="9">
        <v>12435</v>
      </c>
      <c r="L236" s="9">
        <v>4103.5499999999993</v>
      </c>
      <c r="M236" s="10">
        <v>41974</v>
      </c>
      <c r="N236">
        <v>12</v>
      </c>
      <c r="O236" t="s">
        <v>32</v>
      </c>
      <c r="P236" t="s">
        <v>15</v>
      </c>
      <c r="Q236" s="15">
        <f>Table2[[#This Row],[Discounts]]/Table2[[#This Row],[Gross Sales]]</f>
        <v>0.05</v>
      </c>
    </row>
    <row r="237" spans="1:17" x14ac:dyDescent="0.35">
      <c r="A237" t="s">
        <v>10</v>
      </c>
      <c r="B237" t="s">
        <v>18</v>
      </c>
      <c r="C237" t="s">
        <v>39</v>
      </c>
      <c r="D237" t="s">
        <v>47</v>
      </c>
      <c r="E237" s="9">
        <v>1384.5</v>
      </c>
      <c r="F237">
        <v>5</v>
      </c>
      <c r="G237">
        <v>350</v>
      </c>
      <c r="H237" s="9">
        <v>484575</v>
      </c>
      <c r="I237" s="9">
        <v>24228.75</v>
      </c>
      <c r="J237" s="9">
        <v>460346.25</v>
      </c>
      <c r="K237" s="9">
        <v>359970</v>
      </c>
      <c r="L237" s="9">
        <v>100376.25</v>
      </c>
      <c r="M237" s="10">
        <v>41640</v>
      </c>
      <c r="N237">
        <v>1</v>
      </c>
      <c r="O237" t="s">
        <v>21</v>
      </c>
      <c r="P237" t="s">
        <v>15</v>
      </c>
      <c r="Q237" s="15">
        <f>Table2[[#This Row],[Discounts]]/Table2[[#This Row],[Gross Sales]]</f>
        <v>0.05</v>
      </c>
    </row>
    <row r="238" spans="1:17" x14ac:dyDescent="0.35">
      <c r="A238" t="s">
        <v>9</v>
      </c>
      <c r="B238" t="s">
        <v>92</v>
      </c>
      <c r="C238" t="s">
        <v>39</v>
      </c>
      <c r="D238" t="s">
        <v>47</v>
      </c>
      <c r="E238" s="9">
        <v>3627</v>
      </c>
      <c r="F238">
        <v>5</v>
      </c>
      <c r="G238">
        <v>125</v>
      </c>
      <c r="H238" s="9">
        <v>453375</v>
      </c>
      <c r="I238" s="9">
        <v>22668.75</v>
      </c>
      <c r="J238" s="9">
        <v>430706.25</v>
      </c>
      <c r="K238" s="9">
        <v>435240</v>
      </c>
      <c r="L238" s="9">
        <v>-4533.75</v>
      </c>
      <c r="M238" s="10">
        <v>41821</v>
      </c>
      <c r="N238">
        <v>7</v>
      </c>
      <c r="O238" t="s">
        <v>27</v>
      </c>
      <c r="P238" t="s">
        <v>15</v>
      </c>
      <c r="Q238" s="15">
        <f>Table2[[#This Row],[Discounts]]/Table2[[#This Row],[Gross Sales]]</f>
        <v>0.05</v>
      </c>
    </row>
    <row r="239" spans="1:17" x14ac:dyDescent="0.35">
      <c r="A239" t="s">
        <v>10</v>
      </c>
      <c r="B239" t="s">
        <v>20</v>
      </c>
      <c r="C239" t="s">
        <v>39</v>
      </c>
      <c r="D239" t="s">
        <v>47</v>
      </c>
      <c r="E239" s="9">
        <v>720</v>
      </c>
      <c r="F239">
        <v>5</v>
      </c>
      <c r="G239">
        <v>350</v>
      </c>
      <c r="H239" s="9">
        <v>252000</v>
      </c>
      <c r="I239" s="9">
        <v>12600</v>
      </c>
      <c r="J239" s="9">
        <v>239400</v>
      </c>
      <c r="K239" s="9">
        <v>187200</v>
      </c>
      <c r="L239" s="9">
        <v>52200</v>
      </c>
      <c r="M239" s="10">
        <v>41518</v>
      </c>
      <c r="N239">
        <v>9</v>
      </c>
      <c r="O239" t="s">
        <v>29</v>
      </c>
      <c r="P239" t="s">
        <v>14</v>
      </c>
      <c r="Q239" s="15">
        <f>Table2[[#This Row],[Discounts]]/Table2[[#This Row],[Gross Sales]]</f>
        <v>0.05</v>
      </c>
    </row>
    <row r="240" spans="1:17" x14ac:dyDescent="0.35">
      <c r="A240" t="s">
        <v>11</v>
      </c>
      <c r="B240" t="s">
        <v>19</v>
      </c>
      <c r="C240" t="s">
        <v>39</v>
      </c>
      <c r="D240" t="s">
        <v>47</v>
      </c>
      <c r="E240" s="9">
        <v>2342</v>
      </c>
      <c r="F240">
        <v>5</v>
      </c>
      <c r="G240">
        <v>12</v>
      </c>
      <c r="H240" s="9">
        <v>28104</v>
      </c>
      <c r="I240" s="9">
        <v>1405.2</v>
      </c>
      <c r="J240" s="9">
        <v>26698.799999999999</v>
      </c>
      <c r="K240" s="9">
        <v>7026</v>
      </c>
      <c r="L240" s="9">
        <v>19672.8</v>
      </c>
      <c r="M240" s="10">
        <v>41944</v>
      </c>
      <c r="N240">
        <v>11</v>
      </c>
      <c r="O240" t="s">
        <v>31</v>
      </c>
      <c r="P240" t="s">
        <v>15</v>
      </c>
      <c r="Q240" s="15">
        <f>Table2[[#This Row],[Discounts]]/Table2[[#This Row],[Gross Sales]]</f>
        <v>0.05</v>
      </c>
    </row>
    <row r="241" spans="1:17" x14ac:dyDescent="0.35">
      <c r="A241" t="s">
        <v>7</v>
      </c>
      <c r="B241" t="s">
        <v>20</v>
      </c>
      <c r="C241" t="s">
        <v>39</v>
      </c>
      <c r="D241" t="s">
        <v>47</v>
      </c>
      <c r="E241" s="9">
        <v>1100</v>
      </c>
      <c r="F241">
        <v>5</v>
      </c>
      <c r="G241">
        <v>300</v>
      </c>
      <c r="H241" s="9">
        <v>330000</v>
      </c>
      <c r="I241" s="9">
        <v>16500</v>
      </c>
      <c r="J241" s="9">
        <v>313500</v>
      </c>
      <c r="K241" s="9">
        <v>275000</v>
      </c>
      <c r="L241" s="9">
        <v>38500</v>
      </c>
      <c r="M241" s="10">
        <v>41609</v>
      </c>
      <c r="N241">
        <v>12</v>
      </c>
      <c r="O241" t="s">
        <v>32</v>
      </c>
      <c r="P241" t="s">
        <v>14</v>
      </c>
      <c r="Q241" s="15">
        <f>Table2[[#This Row],[Discounts]]/Table2[[#This Row],[Gross Sales]]</f>
        <v>0.05</v>
      </c>
    </row>
    <row r="242" spans="1:17" x14ac:dyDescent="0.35">
      <c r="A242" t="s">
        <v>10</v>
      </c>
      <c r="B242" t="s">
        <v>18</v>
      </c>
      <c r="C242" t="s">
        <v>40</v>
      </c>
      <c r="D242" t="s">
        <v>47</v>
      </c>
      <c r="E242" s="9">
        <v>1303</v>
      </c>
      <c r="F242">
        <v>10</v>
      </c>
      <c r="G242">
        <v>20</v>
      </c>
      <c r="H242" s="9">
        <v>26060</v>
      </c>
      <c r="I242" s="9">
        <v>1303</v>
      </c>
      <c r="J242" s="9">
        <v>24757</v>
      </c>
      <c r="K242" s="9">
        <v>13030</v>
      </c>
      <c r="L242" s="9">
        <v>11727</v>
      </c>
      <c r="M242" s="10">
        <v>41671</v>
      </c>
      <c r="N242">
        <v>2</v>
      </c>
      <c r="O242" t="s">
        <v>22</v>
      </c>
      <c r="P242" t="s">
        <v>15</v>
      </c>
      <c r="Q242" s="15">
        <f>Table2[[#This Row],[Discounts]]/Table2[[#This Row],[Gross Sales]]</f>
        <v>0.05</v>
      </c>
    </row>
    <row r="243" spans="1:17" x14ac:dyDescent="0.35">
      <c r="A243" t="s">
        <v>9</v>
      </c>
      <c r="B243" t="s">
        <v>92</v>
      </c>
      <c r="C243" t="s">
        <v>40</v>
      </c>
      <c r="D243" t="s">
        <v>47</v>
      </c>
      <c r="E243" s="9">
        <v>2992</v>
      </c>
      <c r="F243">
        <v>10</v>
      </c>
      <c r="G243">
        <v>125</v>
      </c>
      <c r="H243" s="9">
        <v>374000</v>
      </c>
      <c r="I243" s="9">
        <v>18700</v>
      </c>
      <c r="J243" s="9">
        <v>355300</v>
      </c>
      <c r="K243" s="9">
        <v>359040</v>
      </c>
      <c r="L243" s="9">
        <v>-3740</v>
      </c>
      <c r="M243" s="10">
        <v>41699</v>
      </c>
      <c r="N243">
        <v>3</v>
      </c>
      <c r="O243" t="s">
        <v>23</v>
      </c>
      <c r="P243" t="s">
        <v>15</v>
      </c>
      <c r="Q243" s="15">
        <f>Table2[[#This Row],[Discounts]]/Table2[[#This Row],[Gross Sales]]</f>
        <v>0.05</v>
      </c>
    </row>
    <row r="244" spans="1:17" x14ac:dyDescent="0.35">
      <c r="A244" t="s">
        <v>9</v>
      </c>
      <c r="B244" t="s">
        <v>18</v>
      </c>
      <c r="C244" t="s">
        <v>40</v>
      </c>
      <c r="D244" t="s">
        <v>47</v>
      </c>
      <c r="E244" s="9">
        <v>2385</v>
      </c>
      <c r="F244">
        <v>10</v>
      </c>
      <c r="G244">
        <v>125</v>
      </c>
      <c r="H244" s="9">
        <v>298125</v>
      </c>
      <c r="I244" s="9">
        <v>14906.25</v>
      </c>
      <c r="J244" s="9">
        <v>283218.75</v>
      </c>
      <c r="K244" s="9">
        <v>286200</v>
      </c>
      <c r="L244" s="9">
        <v>-2981.25</v>
      </c>
      <c r="M244" s="10">
        <v>41699</v>
      </c>
      <c r="N244">
        <v>3</v>
      </c>
      <c r="O244" t="s">
        <v>23</v>
      </c>
      <c r="P244" t="s">
        <v>15</v>
      </c>
      <c r="Q244" s="15">
        <f>Table2[[#This Row],[Discounts]]/Table2[[#This Row],[Gross Sales]]</f>
        <v>0.05</v>
      </c>
    </row>
    <row r="245" spans="1:17" x14ac:dyDescent="0.35">
      <c r="A245" t="s">
        <v>7</v>
      </c>
      <c r="B245" t="s">
        <v>20</v>
      </c>
      <c r="C245" t="s">
        <v>40</v>
      </c>
      <c r="D245" t="s">
        <v>47</v>
      </c>
      <c r="E245" s="9">
        <v>1607</v>
      </c>
      <c r="F245">
        <v>10</v>
      </c>
      <c r="G245">
        <v>300</v>
      </c>
      <c r="H245" s="9">
        <v>482100</v>
      </c>
      <c r="I245" s="9">
        <v>24105</v>
      </c>
      <c r="J245" s="9">
        <v>457995</v>
      </c>
      <c r="K245" s="9">
        <v>401750</v>
      </c>
      <c r="L245" s="9">
        <v>56245</v>
      </c>
      <c r="M245" s="10">
        <v>41730</v>
      </c>
      <c r="N245">
        <v>4</v>
      </c>
      <c r="O245" t="s">
        <v>24</v>
      </c>
      <c r="P245" t="s">
        <v>15</v>
      </c>
      <c r="Q245" s="15">
        <f>Table2[[#This Row],[Discounts]]/Table2[[#This Row],[Gross Sales]]</f>
        <v>0.05</v>
      </c>
    </row>
    <row r="246" spans="1:17" x14ac:dyDescent="0.35">
      <c r="A246" t="s">
        <v>10</v>
      </c>
      <c r="B246" t="s">
        <v>92</v>
      </c>
      <c r="C246" t="s">
        <v>40</v>
      </c>
      <c r="D246" t="s">
        <v>47</v>
      </c>
      <c r="E246" s="9">
        <v>2327</v>
      </c>
      <c r="F246">
        <v>10</v>
      </c>
      <c r="G246">
        <v>7</v>
      </c>
      <c r="H246" s="9">
        <v>16289</v>
      </c>
      <c r="I246" s="9">
        <v>814.45</v>
      </c>
      <c r="J246" s="9">
        <v>15474.55</v>
      </c>
      <c r="K246" s="9">
        <v>11635</v>
      </c>
      <c r="L246" s="9">
        <v>3839.5499999999993</v>
      </c>
      <c r="M246" s="10">
        <v>41760</v>
      </c>
      <c r="N246">
        <v>5</v>
      </c>
      <c r="O246" t="s">
        <v>25</v>
      </c>
      <c r="P246" t="s">
        <v>15</v>
      </c>
      <c r="Q246" s="15">
        <f>Table2[[#This Row],[Discounts]]/Table2[[#This Row],[Gross Sales]]</f>
        <v>0.05</v>
      </c>
    </row>
    <row r="247" spans="1:17" x14ac:dyDescent="0.35">
      <c r="A247" t="s">
        <v>7</v>
      </c>
      <c r="B247" t="s">
        <v>92</v>
      </c>
      <c r="C247" t="s">
        <v>40</v>
      </c>
      <c r="D247" t="s">
        <v>47</v>
      </c>
      <c r="E247" s="9">
        <v>991</v>
      </c>
      <c r="F247">
        <v>10</v>
      </c>
      <c r="G247">
        <v>300</v>
      </c>
      <c r="H247" s="9">
        <v>297300</v>
      </c>
      <c r="I247" s="9">
        <v>14865</v>
      </c>
      <c r="J247" s="9">
        <v>282435</v>
      </c>
      <c r="K247" s="9">
        <v>247750</v>
      </c>
      <c r="L247" s="9">
        <v>34685</v>
      </c>
      <c r="M247" s="10">
        <v>41791</v>
      </c>
      <c r="N247">
        <v>6</v>
      </c>
      <c r="O247" t="s">
        <v>26</v>
      </c>
      <c r="P247" t="s">
        <v>15</v>
      </c>
      <c r="Q247" s="15">
        <f>Table2[[#This Row],[Discounts]]/Table2[[#This Row],[Gross Sales]]</f>
        <v>0.05</v>
      </c>
    </row>
    <row r="248" spans="1:17" x14ac:dyDescent="0.35">
      <c r="A248" t="s">
        <v>10</v>
      </c>
      <c r="B248" t="s">
        <v>92</v>
      </c>
      <c r="C248" t="s">
        <v>40</v>
      </c>
      <c r="D248" t="s">
        <v>47</v>
      </c>
      <c r="E248" s="9">
        <v>602</v>
      </c>
      <c r="F248">
        <v>10</v>
      </c>
      <c r="G248">
        <v>350</v>
      </c>
      <c r="H248" s="9">
        <v>210700</v>
      </c>
      <c r="I248" s="9">
        <v>10535</v>
      </c>
      <c r="J248" s="9">
        <v>200165</v>
      </c>
      <c r="K248" s="9">
        <v>156520</v>
      </c>
      <c r="L248" s="9">
        <v>43645</v>
      </c>
      <c r="M248" s="10">
        <v>41791</v>
      </c>
      <c r="N248">
        <v>6</v>
      </c>
      <c r="O248" t="s">
        <v>26</v>
      </c>
      <c r="P248" t="s">
        <v>15</v>
      </c>
      <c r="Q248" s="15">
        <f>Table2[[#This Row],[Discounts]]/Table2[[#This Row],[Gross Sales]]</f>
        <v>0.05</v>
      </c>
    </row>
    <row r="249" spans="1:17" x14ac:dyDescent="0.35">
      <c r="A249" t="s">
        <v>8</v>
      </c>
      <c r="B249" t="s">
        <v>18</v>
      </c>
      <c r="C249" t="s">
        <v>40</v>
      </c>
      <c r="D249" t="s">
        <v>47</v>
      </c>
      <c r="E249" s="9">
        <v>2620</v>
      </c>
      <c r="F249">
        <v>10</v>
      </c>
      <c r="G249">
        <v>15</v>
      </c>
      <c r="H249" s="9">
        <v>39300</v>
      </c>
      <c r="I249" s="9">
        <v>1965</v>
      </c>
      <c r="J249" s="9">
        <v>37335</v>
      </c>
      <c r="K249" s="9">
        <v>26200</v>
      </c>
      <c r="L249" s="9">
        <v>11135</v>
      </c>
      <c r="M249" s="10">
        <v>41883</v>
      </c>
      <c r="N249">
        <v>9</v>
      </c>
      <c r="O249" t="s">
        <v>29</v>
      </c>
      <c r="P249" t="s">
        <v>15</v>
      </c>
      <c r="Q249" s="15">
        <f>Table2[[#This Row],[Discounts]]/Table2[[#This Row],[Gross Sales]]</f>
        <v>0.05</v>
      </c>
    </row>
    <row r="250" spans="1:17" x14ac:dyDescent="0.35">
      <c r="A250" t="s">
        <v>10</v>
      </c>
      <c r="B250" t="s">
        <v>16</v>
      </c>
      <c r="C250" t="s">
        <v>40</v>
      </c>
      <c r="D250" t="s">
        <v>47</v>
      </c>
      <c r="E250" s="9">
        <v>1228</v>
      </c>
      <c r="F250">
        <v>10</v>
      </c>
      <c r="G250">
        <v>350</v>
      </c>
      <c r="H250" s="9">
        <v>429800</v>
      </c>
      <c r="I250" s="9">
        <v>21490</v>
      </c>
      <c r="J250" s="9">
        <v>408310</v>
      </c>
      <c r="K250" s="9">
        <v>319280</v>
      </c>
      <c r="L250" s="9">
        <v>89030</v>
      </c>
      <c r="M250" s="10">
        <v>41548</v>
      </c>
      <c r="N250">
        <v>10</v>
      </c>
      <c r="O250" t="s">
        <v>30</v>
      </c>
      <c r="P250" t="s">
        <v>14</v>
      </c>
      <c r="Q250" s="15">
        <f>Table2[[#This Row],[Discounts]]/Table2[[#This Row],[Gross Sales]]</f>
        <v>0.05</v>
      </c>
    </row>
    <row r="251" spans="1:17" x14ac:dyDescent="0.35">
      <c r="A251" t="s">
        <v>10</v>
      </c>
      <c r="B251" t="s">
        <v>16</v>
      </c>
      <c r="C251" t="s">
        <v>40</v>
      </c>
      <c r="D251" t="s">
        <v>47</v>
      </c>
      <c r="E251" s="9">
        <v>1389</v>
      </c>
      <c r="F251">
        <v>10</v>
      </c>
      <c r="G251">
        <v>20</v>
      </c>
      <c r="H251" s="9">
        <v>27780</v>
      </c>
      <c r="I251" s="9">
        <v>1389</v>
      </c>
      <c r="J251" s="9">
        <v>26391</v>
      </c>
      <c r="K251" s="9">
        <v>13890</v>
      </c>
      <c r="L251" s="9">
        <v>12501</v>
      </c>
      <c r="M251" s="10">
        <v>41548</v>
      </c>
      <c r="N251">
        <v>10</v>
      </c>
      <c r="O251" t="s">
        <v>30</v>
      </c>
      <c r="P251" t="s">
        <v>14</v>
      </c>
      <c r="Q251" s="15">
        <f>Table2[[#This Row],[Discounts]]/Table2[[#This Row],[Gross Sales]]</f>
        <v>0.05</v>
      </c>
    </row>
    <row r="252" spans="1:17" x14ac:dyDescent="0.35">
      <c r="A252" t="s">
        <v>9</v>
      </c>
      <c r="B252" t="s">
        <v>92</v>
      </c>
      <c r="C252" t="s">
        <v>40</v>
      </c>
      <c r="D252" t="s">
        <v>47</v>
      </c>
      <c r="E252" s="9">
        <v>861</v>
      </c>
      <c r="F252">
        <v>10</v>
      </c>
      <c r="G252">
        <v>125</v>
      </c>
      <c r="H252" s="9">
        <v>107625</v>
      </c>
      <c r="I252" s="9">
        <v>5381.25</v>
      </c>
      <c r="J252" s="9">
        <v>102243.75</v>
      </c>
      <c r="K252" s="9">
        <v>103320</v>
      </c>
      <c r="L252" s="9">
        <v>-1076.25</v>
      </c>
      <c r="M252" s="10">
        <v>41913</v>
      </c>
      <c r="N252">
        <v>10</v>
      </c>
      <c r="O252" t="s">
        <v>30</v>
      </c>
      <c r="P252" t="s">
        <v>15</v>
      </c>
      <c r="Q252" s="15">
        <f>Table2[[#This Row],[Discounts]]/Table2[[#This Row],[Gross Sales]]</f>
        <v>0.05</v>
      </c>
    </row>
    <row r="253" spans="1:17" x14ac:dyDescent="0.35">
      <c r="A253" t="s">
        <v>9</v>
      </c>
      <c r="B253" t="s">
        <v>18</v>
      </c>
      <c r="C253" t="s">
        <v>40</v>
      </c>
      <c r="D253" t="s">
        <v>47</v>
      </c>
      <c r="E253" s="9">
        <v>704</v>
      </c>
      <c r="F253">
        <v>10</v>
      </c>
      <c r="G253">
        <v>125</v>
      </c>
      <c r="H253" s="9">
        <v>88000</v>
      </c>
      <c r="I253" s="9">
        <v>4400</v>
      </c>
      <c r="J253" s="9">
        <v>83600</v>
      </c>
      <c r="K253" s="9">
        <v>84480</v>
      </c>
      <c r="L253" s="9">
        <v>-880</v>
      </c>
      <c r="M253" s="10">
        <v>41548</v>
      </c>
      <c r="N253">
        <v>10</v>
      </c>
      <c r="O253" t="s">
        <v>30</v>
      </c>
      <c r="P253" t="s">
        <v>14</v>
      </c>
      <c r="Q253" s="15">
        <f>Table2[[#This Row],[Discounts]]/Table2[[#This Row],[Gross Sales]]</f>
        <v>0.05</v>
      </c>
    </row>
    <row r="254" spans="1:17" x14ac:dyDescent="0.35">
      <c r="A254" t="s">
        <v>10</v>
      </c>
      <c r="B254" t="s">
        <v>16</v>
      </c>
      <c r="C254" t="s">
        <v>40</v>
      </c>
      <c r="D254" t="s">
        <v>47</v>
      </c>
      <c r="E254" s="9">
        <v>1802</v>
      </c>
      <c r="F254">
        <v>10</v>
      </c>
      <c r="G254">
        <v>20</v>
      </c>
      <c r="H254" s="9">
        <v>36040</v>
      </c>
      <c r="I254" s="9">
        <v>1802</v>
      </c>
      <c r="J254" s="9">
        <v>34238</v>
      </c>
      <c r="K254" s="9">
        <v>18020</v>
      </c>
      <c r="L254" s="9">
        <v>16218</v>
      </c>
      <c r="M254" s="10">
        <v>41609</v>
      </c>
      <c r="N254">
        <v>12</v>
      </c>
      <c r="O254" t="s">
        <v>32</v>
      </c>
      <c r="P254" t="s">
        <v>14</v>
      </c>
      <c r="Q254" s="15">
        <f>Table2[[#This Row],[Discounts]]/Table2[[#This Row],[Gross Sales]]</f>
        <v>0.05</v>
      </c>
    </row>
    <row r="255" spans="1:17" x14ac:dyDescent="0.35">
      <c r="A255" t="s">
        <v>10</v>
      </c>
      <c r="B255" t="s">
        <v>92</v>
      </c>
      <c r="C255" t="s">
        <v>40</v>
      </c>
      <c r="D255" t="s">
        <v>47</v>
      </c>
      <c r="E255" s="9">
        <v>2663</v>
      </c>
      <c r="F255">
        <v>10</v>
      </c>
      <c r="G255">
        <v>20</v>
      </c>
      <c r="H255" s="9">
        <v>53260</v>
      </c>
      <c r="I255" s="9">
        <v>2663</v>
      </c>
      <c r="J255" s="9">
        <v>50597</v>
      </c>
      <c r="K255" s="9">
        <v>26630</v>
      </c>
      <c r="L255" s="9">
        <v>23967</v>
      </c>
      <c r="M255" s="10">
        <v>41974</v>
      </c>
      <c r="N255">
        <v>12</v>
      </c>
      <c r="O255" t="s">
        <v>32</v>
      </c>
      <c r="P255" t="s">
        <v>15</v>
      </c>
      <c r="Q255" s="15">
        <f>Table2[[#This Row],[Discounts]]/Table2[[#This Row],[Gross Sales]]</f>
        <v>0.05</v>
      </c>
    </row>
    <row r="256" spans="1:17" x14ac:dyDescent="0.35">
      <c r="A256" t="s">
        <v>10</v>
      </c>
      <c r="B256" t="s">
        <v>18</v>
      </c>
      <c r="C256" t="s">
        <v>40</v>
      </c>
      <c r="D256" t="s">
        <v>47</v>
      </c>
      <c r="E256" s="9">
        <v>2136</v>
      </c>
      <c r="F256">
        <v>10</v>
      </c>
      <c r="G256">
        <v>7</v>
      </c>
      <c r="H256" s="9">
        <v>14952</v>
      </c>
      <c r="I256" s="9">
        <v>747.6</v>
      </c>
      <c r="J256" s="9">
        <v>14204.4</v>
      </c>
      <c r="K256" s="9">
        <v>10680</v>
      </c>
      <c r="L256" s="9">
        <v>3524.3999999999996</v>
      </c>
      <c r="M256" s="10">
        <v>41609</v>
      </c>
      <c r="N256">
        <v>12</v>
      </c>
      <c r="O256" t="s">
        <v>32</v>
      </c>
      <c r="P256" t="s">
        <v>14</v>
      </c>
      <c r="Q256" s="15">
        <f>Table2[[#This Row],[Discounts]]/Table2[[#This Row],[Gross Sales]]</f>
        <v>0.05</v>
      </c>
    </row>
    <row r="257" spans="1:17" x14ac:dyDescent="0.35">
      <c r="A257" t="s">
        <v>8</v>
      </c>
      <c r="B257" t="s">
        <v>19</v>
      </c>
      <c r="C257" t="s">
        <v>40</v>
      </c>
      <c r="D257" t="s">
        <v>47</v>
      </c>
      <c r="E257" s="9">
        <v>2116</v>
      </c>
      <c r="F257">
        <v>10</v>
      </c>
      <c r="G257">
        <v>15</v>
      </c>
      <c r="H257" s="9">
        <v>31740</v>
      </c>
      <c r="I257" s="9">
        <v>1587</v>
      </c>
      <c r="J257" s="9">
        <v>30153</v>
      </c>
      <c r="K257" s="9">
        <v>21160</v>
      </c>
      <c r="L257" s="9">
        <v>8993</v>
      </c>
      <c r="M257" s="10">
        <v>41609</v>
      </c>
      <c r="N257">
        <v>12</v>
      </c>
      <c r="O257" t="s">
        <v>32</v>
      </c>
      <c r="P257" t="s">
        <v>14</v>
      </c>
      <c r="Q257" s="15">
        <f>Table2[[#This Row],[Discounts]]/Table2[[#This Row],[Gross Sales]]</f>
        <v>0.05</v>
      </c>
    </row>
    <row r="258" spans="1:17" x14ac:dyDescent="0.35">
      <c r="A258" t="s">
        <v>8</v>
      </c>
      <c r="B258" t="s">
        <v>92</v>
      </c>
      <c r="C258" t="s">
        <v>41</v>
      </c>
      <c r="D258" t="s">
        <v>47</v>
      </c>
      <c r="E258" s="9">
        <v>555</v>
      </c>
      <c r="F258">
        <v>120</v>
      </c>
      <c r="G258">
        <v>15</v>
      </c>
      <c r="H258" s="9">
        <v>8325</v>
      </c>
      <c r="I258" s="9">
        <v>416.25</v>
      </c>
      <c r="J258" s="9">
        <v>7908.75</v>
      </c>
      <c r="K258" s="9">
        <v>5550</v>
      </c>
      <c r="L258" s="9">
        <v>2358.75</v>
      </c>
      <c r="M258" s="10">
        <v>41640</v>
      </c>
      <c r="N258">
        <v>1</v>
      </c>
      <c r="O258" t="s">
        <v>21</v>
      </c>
      <c r="P258" t="s">
        <v>15</v>
      </c>
      <c r="Q258" s="15">
        <f>Table2[[#This Row],[Discounts]]/Table2[[#This Row],[Gross Sales]]</f>
        <v>0.05</v>
      </c>
    </row>
    <row r="259" spans="1:17" x14ac:dyDescent="0.35">
      <c r="A259" t="s">
        <v>8</v>
      </c>
      <c r="B259" t="s">
        <v>20</v>
      </c>
      <c r="C259" t="s">
        <v>41</v>
      </c>
      <c r="D259" t="s">
        <v>47</v>
      </c>
      <c r="E259" s="9">
        <v>2861</v>
      </c>
      <c r="F259">
        <v>120</v>
      </c>
      <c r="G259">
        <v>15</v>
      </c>
      <c r="H259" s="9">
        <v>42915</v>
      </c>
      <c r="I259" s="9">
        <v>2145.75</v>
      </c>
      <c r="J259" s="9">
        <v>40769.25</v>
      </c>
      <c r="K259" s="9">
        <v>28610</v>
      </c>
      <c r="L259" s="9">
        <v>12159.25</v>
      </c>
      <c r="M259" s="10">
        <v>41640</v>
      </c>
      <c r="N259">
        <v>1</v>
      </c>
      <c r="O259" t="s">
        <v>21</v>
      </c>
      <c r="P259" t="s">
        <v>15</v>
      </c>
      <c r="Q259" s="15">
        <f>Table2[[#This Row],[Discounts]]/Table2[[#This Row],[Gross Sales]]</f>
        <v>0.05</v>
      </c>
    </row>
    <row r="260" spans="1:17" x14ac:dyDescent="0.35">
      <c r="A260" t="s">
        <v>9</v>
      </c>
      <c r="B260" t="s">
        <v>19</v>
      </c>
      <c r="C260" t="s">
        <v>41</v>
      </c>
      <c r="D260" t="s">
        <v>47</v>
      </c>
      <c r="E260" s="9">
        <v>807</v>
      </c>
      <c r="F260">
        <v>120</v>
      </c>
      <c r="G260">
        <v>125</v>
      </c>
      <c r="H260" s="9">
        <v>100875</v>
      </c>
      <c r="I260" s="9">
        <v>5043.75</v>
      </c>
      <c r="J260" s="9">
        <v>95831.25</v>
      </c>
      <c r="K260" s="9">
        <v>96840</v>
      </c>
      <c r="L260" s="9">
        <v>-1008.75</v>
      </c>
      <c r="M260" s="10">
        <v>41671</v>
      </c>
      <c r="N260">
        <v>2</v>
      </c>
      <c r="O260" t="s">
        <v>22</v>
      </c>
      <c r="P260" t="s">
        <v>15</v>
      </c>
      <c r="Q260" s="15">
        <f>Table2[[#This Row],[Discounts]]/Table2[[#This Row],[Gross Sales]]</f>
        <v>0.05</v>
      </c>
    </row>
    <row r="261" spans="1:17" x14ac:dyDescent="0.35">
      <c r="A261" t="s">
        <v>10</v>
      </c>
      <c r="B261" t="s">
        <v>92</v>
      </c>
      <c r="C261" t="s">
        <v>41</v>
      </c>
      <c r="D261" t="s">
        <v>47</v>
      </c>
      <c r="E261" s="9">
        <v>602</v>
      </c>
      <c r="F261">
        <v>120</v>
      </c>
      <c r="G261">
        <v>350</v>
      </c>
      <c r="H261" s="9">
        <v>210700</v>
      </c>
      <c r="I261" s="9">
        <v>10535</v>
      </c>
      <c r="J261" s="9">
        <v>200165</v>
      </c>
      <c r="K261" s="9">
        <v>156520</v>
      </c>
      <c r="L261" s="9">
        <v>43645</v>
      </c>
      <c r="M261" s="10">
        <v>41791</v>
      </c>
      <c r="N261">
        <v>6</v>
      </c>
      <c r="O261" t="s">
        <v>26</v>
      </c>
      <c r="P261" t="s">
        <v>15</v>
      </c>
      <c r="Q261" s="15">
        <f>Table2[[#This Row],[Discounts]]/Table2[[#This Row],[Gross Sales]]</f>
        <v>0.05</v>
      </c>
    </row>
    <row r="262" spans="1:17" x14ac:dyDescent="0.35">
      <c r="A262" t="s">
        <v>10</v>
      </c>
      <c r="B262" t="s">
        <v>92</v>
      </c>
      <c r="C262" t="s">
        <v>41</v>
      </c>
      <c r="D262" t="s">
        <v>47</v>
      </c>
      <c r="E262" s="9">
        <v>2832</v>
      </c>
      <c r="F262">
        <v>120</v>
      </c>
      <c r="G262">
        <v>20</v>
      </c>
      <c r="H262" s="9">
        <v>56640</v>
      </c>
      <c r="I262" s="9">
        <v>2832</v>
      </c>
      <c r="J262" s="9">
        <v>53808</v>
      </c>
      <c r="K262" s="9">
        <v>28320</v>
      </c>
      <c r="L262" s="9">
        <v>25488</v>
      </c>
      <c r="M262" s="10">
        <v>41852</v>
      </c>
      <c r="N262">
        <v>8</v>
      </c>
      <c r="O262" t="s">
        <v>28</v>
      </c>
      <c r="P262" t="s">
        <v>15</v>
      </c>
      <c r="Q262" s="15">
        <f>Table2[[#This Row],[Discounts]]/Table2[[#This Row],[Gross Sales]]</f>
        <v>0.05</v>
      </c>
    </row>
    <row r="263" spans="1:17" x14ac:dyDescent="0.35">
      <c r="A263" t="s">
        <v>10</v>
      </c>
      <c r="B263" t="s">
        <v>18</v>
      </c>
      <c r="C263" t="s">
        <v>41</v>
      </c>
      <c r="D263" t="s">
        <v>47</v>
      </c>
      <c r="E263" s="9">
        <v>1579</v>
      </c>
      <c r="F263">
        <v>120</v>
      </c>
      <c r="G263">
        <v>20</v>
      </c>
      <c r="H263" s="9">
        <v>31580</v>
      </c>
      <c r="I263" s="9">
        <v>1579</v>
      </c>
      <c r="J263" s="9">
        <v>30001</v>
      </c>
      <c r="K263" s="9">
        <v>15790</v>
      </c>
      <c r="L263" s="9">
        <v>14211</v>
      </c>
      <c r="M263" s="10">
        <v>41852</v>
      </c>
      <c r="N263">
        <v>8</v>
      </c>
      <c r="O263" t="s">
        <v>28</v>
      </c>
      <c r="P263" t="s">
        <v>15</v>
      </c>
      <c r="Q263" s="15">
        <f>Table2[[#This Row],[Discounts]]/Table2[[#This Row],[Gross Sales]]</f>
        <v>0.05</v>
      </c>
    </row>
    <row r="264" spans="1:17" x14ac:dyDescent="0.35">
      <c r="A264" t="s">
        <v>9</v>
      </c>
      <c r="B264" t="s">
        <v>92</v>
      </c>
      <c r="C264" t="s">
        <v>41</v>
      </c>
      <c r="D264" t="s">
        <v>47</v>
      </c>
      <c r="E264" s="9">
        <v>861</v>
      </c>
      <c r="F264">
        <v>120</v>
      </c>
      <c r="G264">
        <v>125</v>
      </c>
      <c r="H264" s="9">
        <v>107625</v>
      </c>
      <c r="I264" s="9">
        <v>5381.25</v>
      </c>
      <c r="J264" s="9">
        <v>102243.75</v>
      </c>
      <c r="K264" s="9">
        <v>103320</v>
      </c>
      <c r="L264" s="9">
        <v>-1076.25</v>
      </c>
      <c r="M264" s="10">
        <v>41913</v>
      </c>
      <c r="N264">
        <v>10</v>
      </c>
      <c r="O264" t="s">
        <v>30</v>
      </c>
      <c r="P264" t="s">
        <v>15</v>
      </c>
      <c r="Q264" s="15">
        <f>Table2[[#This Row],[Discounts]]/Table2[[#This Row],[Gross Sales]]</f>
        <v>0.05</v>
      </c>
    </row>
    <row r="265" spans="1:17" x14ac:dyDescent="0.35">
      <c r="A265" t="s">
        <v>9</v>
      </c>
      <c r="B265" t="s">
        <v>18</v>
      </c>
      <c r="C265" t="s">
        <v>41</v>
      </c>
      <c r="D265" t="s">
        <v>47</v>
      </c>
      <c r="E265" s="9">
        <v>704</v>
      </c>
      <c r="F265">
        <v>120</v>
      </c>
      <c r="G265">
        <v>125</v>
      </c>
      <c r="H265" s="9">
        <v>88000</v>
      </c>
      <c r="I265" s="9">
        <v>4400</v>
      </c>
      <c r="J265" s="9">
        <v>83600</v>
      </c>
      <c r="K265" s="9">
        <v>84480</v>
      </c>
      <c r="L265" s="9">
        <v>-880</v>
      </c>
      <c r="M265" s="10">
        <v>41548</v>
      </c>
      <c r="N265">
        <v>10</v>
      </c>
      <c r="O265" t="s">
        <v>30</v>
      </c>
      <c r="P265" t="s">
        <v>14</v>
      </c>
      <c r="Q265" s="15">
        <f>Table2[[#This Row],[Discounts]]/Table2[[#This Row],[Gross Sales]]</f>
        <v>0.05</v>
      </c>
    </row>
    <row r="266" spans="1:17" x14ac:dyDescent="0.35">
      <c r="A266" t="s">
        <v>10</v>
      </c>
      <c r="B266" t="s">
        <v>18</v>
      </c>
      <c r="C266" t="s">
        <v>41</v>
      </c>
      <c r="D266" t="s">
        <v>47</v>
      </c>
      <c r="E266" s="9">
        <v>1033</v>
      </c>
      <c r="F266">
        <v>120</v>
      </c>
      <c r="G266">
        <v>20</v>
      </c>
      <c r="H266" s="9">
        <v>20660</v>
      </c>
      <c r="I266" s="9">
        <v>1033</v>
      </c>
      <c r="J266" s="9">
        <v>19627</v>
      </c>
      <c r="K266" s="9">
        <v>10330</v>
      </c>
      <c r="L266" s="9">
        <v>9297</v>
      </c>
      <c r="M266" s="10">
        <v>41609</v>
      </c>
      <c r="N266">
        <v>12</v>
      </c>
      <c r="O266" t="s">
        <v>32</v>
      </c>
      <c r="P266" t="s">
        <v>14</v>
      </c>
      <c r="Q266" s="15">
        <f>Table2[[#This Row],[Discounts]]/Table2[[#This Row],[Gross Sales]]</f>
        <v>0.05</v>
      </c>
    </row>
    <row r="267" spans="1:17" x14ac:dyDescent="0.35">
      <c r="A267" t="s">
        <v>7</v>
      </c>
      <c r="B267" t="s">
        <v>19</v>
      </c>
      <c r="C267" t="s">
        <v>41</v>
      </c>
      <c r="D267" t="s">
        <v>47</v>
      </c>
      <c r="E267" s="9">
        <v>1250</v>
      </c>
      <c r="F267">
        <v>120</v>
      </c>
      <c r="G267">
        <v>300</v>
      </c>
      <c r="H267" s="9">
        <v>375000</v>
      </c>
      <c r="I267" s="9">
        <v>18750</v>
      </c>
      <c r="J267" s="9">
        <v>356250</v>
      </c>
      <c r="K267" s="9">
        <v>312500</v>
      </c>
      <c r="L267" s="9">
        <v>43750</v>
      </c>
      <c r="M267" s="10">
        <v>41974</v>
      </c>
      <c r="N267">
        <v>12</v>
      </c>
      <c r="O267" t="s">
        <v>32</v>
      </c>
      <c r="P267" t="s">
        <v>15</v>
      </c>
      <c r="Q267" s="15">
        <f>Table2[[#This Row],[Discounts]]/Table2[[#This Row],[Gross Sales]]</f>
        <v>0.05</v>
      </c>
    </row>
    <row r="268" spans="1:17" x14ac:dyDescent="0.35">
      <c r="A268" t="s">
        <v>10</v>
      </c>
      <c r="B268" t="s">
        <v>16</v>
      </c>
      <c r="C268" t="s">
        <v>42</v>
      </c>
      <c r="D268" t="s">
        <v>47</v>
      </c>
      <c r="E268" s="9">
        <v>1389</v>
      </c>
      <c r="F268">
        <v>250</v>
      </c>
      <c r="G268">
        <v>20</v>
      </c>
      <c r="H268" s="9">
        <v>27780</v>
      </c>
      <c r="I268" s="9">
        <v>1389</v>
      </c>
      <c r="J268" s="9">
        <v>26391</v>
      </c>
      <c r="K268" s="9">
        <v>13890</v>
      </c>
      <c r="L268" s="9">
        <v>12501</v>
      </c>
      <c r="M268" s="10">
        <v>41548</v>
      </c>
      <c r="N268">
        <v>10</v>
      </c>
      <c r="O268" t="s">
        <v>30</v>
      </c>
      <c r="P268" t="s">
        <v>14</v>
      </c>
      <c r="Q268" s="15">
        <f>Table2[[#This Row],[Discounts]]/Table2[[#This Row],[Gross Sales]]</f>
        <v>0.05</v>
      </c>
    </row>
    <row r="269" spans="1:17" x14ac:dyDescent="0.35">
      <c r="A269" t="s">
        <v>10</v>
      </c>
      <c r="B269" t="s">
        <v>92</v>
      </c>
      <c r="C269" t="s">
        <v>42</v>
      </c>
      <c r="D269" t="s">
        <v>47</v>
      </c>
      <c r="E269" s="9">
        <v>1265</v>
      </c>
      <c r="F269">
        <v>250</v>
      </c>
      <c r="G269">
        <v>20</v>
      </c>
      <c r="H269" s="9">
        <v>25300</v>
      </c>
      <c r="I269" s="9">
        <v>1265</v>
      </c>
      <c r="J269" s="9">
        <v>24035</v>
      </c>
      <c r="K269" s="9">
        <v>12650</v>
      </c>
      <c r="L269" s="9">
        <v>11385</v>
      </c>
      <c r="M269" s="10">
        <v>41579</v>
      </c>
      <c r="N269">
        <v>11</v>
      </c>
      <c r="O269" t="s">
        <v>31</v>
      </c>
      <c r="P269" t="s">
        <v>14</v>
      </c>
      <c r="Q269" s="15">
        <f>Table2[[#This Row],[Discounts]]/Table2[[#This Row],[Gross Sales]]</f>
        <v>0.05</v>
      </c>
    </row>
    <row r="270" spans="1:17" x14ac:dyDescent="0.35">
      <c r="A270" t="s">
        <v>10</v>
      </c>
      <c r="B270" t="s">
        <v>19</v>
      </c>
      <c r="C270" t="s">
        <v>42</v>
      </c>
      <c r="D270" t="s">
        <v>47</v>
      </c>
      <c r="E270" s="9">
        <v>2297</v>
      </c>
      <c r="F270">
        <v>250</v>
      </c>
      <c r="G270">
        <v>20</v>
      </c>
      <c r="H270" s="9">
        <v>45940</v>
      </c>
      <c r="I270" s="9">
        <v>2297</v>
      </c>
      <c r="J270" s="9">
        <v>43643</v>
      </c>
      <c r="K270" s="9">
        <v>22970</v>
      </c>
      <c r="L270" s="9">
        <v>20673</v>
      </c>
      <c r="M270" s="10">
        <v>41579</v>
      </c>
      <c r="N270">
        <v>11</v>
      </c>
      <c r="O270" t="s">
        <v>31</v>
      </c>
      <c r="P270" t="s">
        <v>14</v>
      </c>
      <c r="Q270" s="15">
        <f>Table2[[#This Row],[Discounts]]/Table2[[#This Row],[Gross Sales]]</f>
        <v>0.05</v>
      </c>
    </row>
    <row r="271" spans="1:17" x14ac:dyDescent="0.35">
      <c r="A271" t="s">
        <v>10</v>
      </c>
      <c r="B271" t="s">
        <v>92</v>
      </c>
      <c r="C271" t="s">
        <v>42</v>
      </c>
      <c r="D271" t="s">
        <v>47</v>
      </c>
      <c r="E271" s="9">
        <v>2663</v>
      </c>
      <c r="F271">
        <v>250</v>
      </c>
      <c r="G271">
        <v>20</v>
      </c>
      <c r="H271" s="9">
        <v>53260</v>
      </c>
      <c r="I271" s="9">
        <v>2663</v>
      </c>
      <c r="J271" s="9">
        <v>50597</v>
      </c>
      <c r="K271" s="9">
        <v>26630</v>
      </c>
      <c r="L271" s="9">
        <v>23967</v>
      </c>
      <c r="M271" s="10">
        <v>41974</v>
      </c>
      <c r="N271">
        <v>12</v>
      </c>
      <c r="O271" t="s">
        <v>32</v>
      </c>
      <c r="P271" t="s">
        <v>15</v>
      </c>
      <c r="Q271" s="15">
        <f>Table2[[#This Row],[Discounts]]/Table2[[#This Row],[Gross Sales]]</f>
        <v>0.05</v>
      </c>
    </row>
    <row r="272" spans="1:17" x14ac:dyDescent="0.35">
      <c r="A272" t="s">
        <v>10</v>
      </c>
      <c r="B272" t="s">
        <v>92</v>
      </c>
      <c r="C272" t="s">
        <v>42</v>
      </c>
      <c r="D272" t="s">
        <v>47</v>
      </c>
      <c r="E272" s="9">
        <v>570</v>
      </c>
      <c r="F272">
        <v>250</v>
      </c>
      <c r="G272">
        <v>7</v>
      </c>
      <c r="H272" s="9">
        <v>3990</v>
      </c>
      <c r="I272" s="9">
        <v>199.5</v>
      </c>
      <c r="J272" s="9">
        <v>3790.5</v>
      </c>
      <c r="K272" s="9">
        <v>2850</v>
      </c>
      <c r="L272" s="9">
        <v>940.5</v>
      </c>
      <c r="M272" s="10">
        <v>41974</v>
      </c>
      <c r="N272">
        <v>12</v>
      </c>
      <c r="O272" t="s">
        <v>32</v>
      </c>
      <c r="P272" t="s">
        <v>15</v>
      </c>
      <c r="Q272" s="15">
        <f>Table2[[#This Row],[Discounts]]/Table2[[#This Row],[Gross Sales]]</f>
        <v>0.05</v>
      </c>
    </row>
    <row r="273" spans="1:17" x14ac:dyDescent="0.35">
      <c r="A273" t="s">
        <v>10</v>
      </c>
      <c r="B273" t="s">
        <v>18</v>
      </c>
      <c r="C273" t="s">
        <v>42</v>
      </c>
      <c r="D273" t="s">
        <v>47</v>
      </c>
      <c r="E273" s="9">
        <v>2487</v>
      </c>
      <c r="F273">
        <v>250</v>
      </c>
      <c r="G273">
        <v>7</v>
      </c>
      <c r="H273" s="9">
        <v>17409</v>
      </c>
      <c r="I273" s="9">
        <v>870.45</v>
      </c>
      <c r="J273" s="9">
        <v>16538.55</v>
      </c>
      <c r="K273" s="9">
        <v>12435</v>
      </c>
      <c r="L273" s="9">
        <v>4103.5499999999993</v>
      </c>
      <c r="M273" s="10">
        <v>41974</v>
      </c>
      <c r="N273">
        <v>12</v>
      </c>
      <c r="O273" t="s">
        <v>32</v>
      </c>
      <c r="P273" t="s">
        <v>15</v>
      </c>
      <c r="Q273" s="15">
        <f>Table2[[#This Row],[Discounts]]/Table2[[#This Row],[Gross Sales]]</f>
        <v>0.05</v>
      </c>
    </row>
    <row r="274" spans="1:17" x14ac:dyDescent="0.35">
      <c r="A274" t="s">
        <v>10</v>
      </c>
      <c r="B274" t="s">
        <v>19</v>
      </c>
      <c r="C274" t="s">
        <v>43</v>
      </c>
      <c r="D274" t="s">
        <v>47</v>
      </c>
      <c r="E274" s="9">
        <v>1350</v>
      </c>
      <c r="F274">
        <v>260</v>
      </c>
      <c r="G274">
        <v>350</v>
      </c>
      <c r="H274" s="9">
        <v>472500</v>
      </c>
      <c r="I274" s="9">
        <v>23625</v>
      </c>
      <c r="J274" s="9">
        <v>448875</v>
      </c>
      <c r="K274" s="9">
        <v>351000</v>
      </c>
      <c r="L274" s="9">
        <v>97875</v>
      </c>
      <c r="M274" s="10">
        <v>41671</v>
      </c>
      <c r="N274">
        <v>2</v>
      </c>
      <c r="O274" t="s">
        <v>22</v>
      </c>
      <c r="P274" t="s">
        <v>15</v>
      </c>
      <c r="Q274" s="15">
        <f>Table2[[#This Row],[Discounts]]/Table2[[#This Row],[Gross Sales]]</f>
        <v>0.05</v>
      </c>
    </row>
    <row r="275" spans="1:17" x14ac:dyDescent="0.35">
      <c r="A275" t="s">
        <v>10</v>
      </c>
      <c r="B275" t="s">
        <v>16</v>
      </c>
      <c r="C275" t="s">
        <v>43</v>
      </c>
      <c r="D275" t="s">
        <v>47</v>
      </c>
      <c r="E275" s="9">
        <v>552</v>
      </c>
      <c r="F275">
        <v>260</v>
      </c>
      <c r="G275">
        <v>350</v>
      </c>
      <c r="H275" s="9">
        <v>193200</v>
      </c>
      <c r="I275" s="9">
        <v>9660</v>
      </c>
      <c r="J275" s="9">
        <v>183540</v>
      </c>
      <c r="K275" s="9">
        <v>143520</v>
      </c>
      <c r="L275" s="9">
        <v>40020</v>
      </c>
      <c r="M275" s="10">
        <v>41852</v>
      </c>
      <c r="N275">
        <v>8</v>
      </c>
      <c r="O275" t="s">
        <v>28</v>
      </c>
      <c r="P275" t="s">
        <v>15</v>
      </c>
      <c r="Q275" s="15">
        <f>Table2[[#This Row],[Discounts]]/Table2[[#This Row],[Gross Sales]]</f>
        <v>0.05</v>
      </c>
    </row>
    <row r="276" spans="1:17" x14ac:dyDescent="0.35">
      <c r="A276" t="s">
        <v>10</v>
      </c>
      <c r="B276" t="s">
        <v>16</v>
      </c>
      <c r="C276" t="s">
        <v>43</v>
      </c>
      <c r="D276" t="s">
        <v>47</v>
      </c>
      <c r="E276" s="9">
        <v>1228</v>
      </c>
      <c r="F276">
        <v>260</v>
      </c>
      <c r="G276">
        <v>350</v>
      </c>
      <c r="H276" s="9">
        <v>429800</v>
      </c>
      <c r="I276" s="9">
        <v>21490</v>
      </c>
      <c r="J276" s="9">
        <v>408310</v>
      </c>
      <c r="K276" s="9">
        <v>319280</v>
      </c>
      <c r="L276" s="9">
        <v>89030</v>
      </c>
      <c r="M276" s="10">
        <v>41548</v>
      </c>
      <c r="N276">
        <v>10</v>
      </c>
      <c r="O276" t="s">
        <v>30</v>
      </c>
      <c r="P276" t="s">
        <v>14</v>
      </c>
      <c r="Q276" s="15">
        <f>Table2[[#This Row],[Discounts]]/Table2[[#This Row],[Gross Sales]]</f>
        <v>0.05</v>
      </c>
    </row>
    <row r="277" spans="1:17" x14ac:dyDescent="0.35">
      <c r="A277" t="s">
        <v>7</v>
      </c>
      <c r="B277" t="s">
        <v>19</v>
      </c>
      <c r="C277" t="s">
        <v>43</v>
      </c>
      <c r="D277" t="s">
        <v>47</v>
      </c>
      <c r="E277" s="9">
        <v>1250</v>
      </c>
      <c r="F277">
        <v>260</v>
      </c>
      <c r="G277">
        <v>300</v>
      </c>
      <c r="H277" s="9">
        <v>375000</v>
      </c>
      <c r="I277" s="9">
        <v>18750</v>
      </c>
      <c r="J277" s="9">
        <v>356250</v>
      </c>
      <c r="K277" s="9">
        <v>312500</v>
      </c>
      <c r="L277" s="9">
        <v>43750</v>
      </c>
      <c r="M277" s="10">
        <v>41974</v>
      </c>
      <c r="N277">
        <v>12</v>
      </c>
      <c r="O277" t="s">
        <v>32</v>
      </c>
      <c r="P277" t="s">
        <v>15</v>
      </c>
      <c r="Q277" s="15">
        <f>Table2[[#This Row],[Discounts]]/Table2[[#This Row],[Gross Sales]]</f>
        <v>0.05</v>
      </c>
    </row>
    <row r="278" spans="1:17" x14ac:dyDescent="0.35">
      <c r="A278" t="s">
        <v>8</v>
      </c>
      <c r="B278" t="s">
        <v>18</v>
      </c>
      <c r="C278" t="s">
        <v>40</v>
      </c>
      <c r="D278" t="s">
        <v>47</v>
      </c>
      <c r="E278" s="9">
        <v>3801</v>
      </c>
      <c r="F278">
        <v>10</v>
      </c>
      <c r="G278">
        <v>15</v>
      </c>
      <c r="H278" s="9">
        <v>57015</v>
      </c>
      <c r="I278" s="9">
        <v>3420.8999999999996</v>
      </c>
      <c r="J278" s="9">
        <v>53594.100000000006</v>
      </c>
      <c r="K278" s="9">
        <v>38010</v>
      </c>
      <c r="L278" s="9">
        <v>15584.100000000002</v>
      </c>
      <c r="M278" s="10">
        <v>41730</v>
      </c>
      <c r="N278">
        <v>4</v>
      </c>
      <c r="O278" t="s">
        <v>24</v>
      </c>
      <c r="P278" t="s">
        <v>15</v>
      </c>
      <c r="Q278" s="15">
        <f>Table2[[#This Row],[Discounts]]/Table2[[#This Row],[Gross Sales]]</f>
        <v>5.9999999999999991E-2</v>
      </c>
    </row>
    <row r="279" spans="1:17" x14ac:dyDescent="0.35">
      <c r="A279" t="s">
        <v>10</v>
      </c>
      <c r="B279" t="s">
        <v>92</v>
      </c>
      <c r="C279" t="s">
        <v>38</v>
      </c>
      <c r="D279" t="s">
        <v>47</v>
      </c>
      <c r="E279" s="9">
        <v>1117.5</v>
      </c>
      <c r="F279">
        <v>3</v>
      </c>
      <c r="G279">
        <v>20</v>
      </c>
      <c r="H279" s="9">
        <v>22350</v>
      </c>
      <c r="I279" s="9">
        <v>1341</v>
      </c>
      <c r="J279" s="9">
        <v>21009</v>
      </c>
      <c r="K279" s="9">
        <v>11175</v>
      </c>
      <c r="L279" s="9">
        <v>9834</v>
      </c>
      <c r="M279" s="10">
        <v>41640</v>
      </c>
      <c r="N279">
        <v>1</v>
      </c>
      <c r="O279" t="s">
        <v>21</v>
      </c>
      <c r="P279" t="s">
        <v>15</v>
      </c>
      <c r="Q279" s="15">
        <f>Table2[[#This Row],[Discounts]]/Table2[[#This Row],[Gross Sales]]</f>
        <v>0.06</v>
      </c>
    </row>
    <row r="280" spans="1:17" x14ac:dyDescent="0.35">
      <c r="A280" t="s">
        <v>8</v>
      </c>
      <c r="B280" t="s">
        <v>16</v>
      </c>
      <c r="C280" t="s">
        <v>38</v>
      </c>
      <c r="D280" t="s">
        <v>47</v>
      </c>
      <c r="E280" s="9">
        <v>2844</v>
      </c>
      <c r="F280">
        <v>3</v>
      </c>
      <c r="G280">
        <v>15</v>
      </c>
      <c r="H280" s="9">
        <v>42660</v>
      </c>
      <c r="I280" s="9">
        <v>2559.6</v>
      </c>
      <c r="J280" s="9">
        <v>40100.400000000001</v>
      </c>
      <c r="K280" s="9">
        <v>28440</v>
      </c>
      <c r="L280" s="9">
        <v>11660.400000000001</v>
      </c>
      <c r="M280" s="10">
        <v>41791</v>
      </c>
      <c r="N280">
        <v>6</v>
      </c>
      <c r="O280" t="s">
        <v>26</v>
      </c>
      <c r="P280" t="s">
        <v>15</v>
      </c>
      <c r="Q280" s="15">
        <f>Table2[[#This Row],[Discounts]]/Table2[[#This Row],[Gross Sales]]</f>
        <v>0.06</v>
      </c>
    </row>
    <row r="281" spans="1:17" x14ac:dyDescent="0.35">
      <c r="A281" t="s">
        <v>11</v>
      </c>
      <c r="B281" t="s">
        <v>20</v>
      </c>
      <c r="C281" t="s">
        <v>38</v>
      </c>
      <c r="D281" t="s">
        <v>47</v>
      </c>
      <c r="E281" s="9">
        <v>562</v>
      </c>
      <c r="F281">
        <v>3</v>
      </c>
      <c r="G281">
        <v>12</v>
      </c>
      <c r="H281" s="9">
        <v>6744</v>
      </c>
      <c r="I281" s="9">
        <v>404.64</v>
      </c>
      <c r="J281" s="9">
        <v>6339.36</v>
      </c>
      <c r="K281" s="9">
        <v>1686</v>
      </c>
      <c r="L281" s="9">
        <v>4653.3599999999997</v>
      </c>
      <c r="M281" s="10">
        <v>41883</v>
      </c>
      <c r="N281">
        <v>9</v>
      </c>
      <c r="O281" t="s">
        <v>29</v>
      </c>
      <c r="P281" t="s">
        <v>15</v>
      </c>
      <c r="Q281" s="15">
        <f>Table2[[#This Row],[Discounts]]/Table2[[#This Row],[Gross Sales]]</f>
        <v>0.06</v>
      </c>
    </row>
    <row r="282" spans="1:17" x14ac:dyDescent="0.35">
      <c r="A282" t="s">
        <v>11</v>
      </c>
      <c r="B282" t="s">
        <v>16</v>
      </c>
      <c r="C282" t="s">
        <v>38</v>
      </c>
      <c r="D282" t="s">
        <v>47</v>
      </c>
      <c r="E282" s="9">
        <v>2299</v>
      </c>
      <c r="F282">
        <v>3</v>
      </c>
      <c r="G282">
        <v>12</v>
      </c>
      <c r="H282" s="9">
        <v>27588</v>
      </c>
      <c r="I282" s="9">
        <v>1655.28</v>
      </c>
      <c r="J282" s="9">
        <v>25932.720000000001</v>
      </c>
      <c r="K282" s="9">
        <v>6897</v>
      </c>
      <c r="L282" s="9">
        <v>19035.72</v>
      </c>
      <c r="M282" s="10">
        <v>41548</v>
      </c>
      <c r="N282">
        <v>10</v>
      </c>
      <c r="O282" t="s">
        <v>30</v>
      </c>
      <c r="P282" t="s">
        <v>14</v>
      </c>
      <c r="Q282" s="15">
        <f>Table2[[#This Row],[Discounts]]/Table2[[#This Row],[Gross Sales]]</f>
        <v>0.06</v>
      </c>
    </row>
    <row r="283" spans="1:17" x14ac:dyDescent="0.35">
      <c r="A283" t="s">
        <v>8</v>
      </c>
      <c r="B283" t="s">
        <v>92</v>
      </c>
      <c r="C283" t="s">
        <v>38</v>
      </c>
      <c r="D283" t="s">
        <v>47</v>
      </c>
      <c r="E283" s="9">
        <v>2030</v>
      </c>
      <c r="F283">
        <v>3</v>
      </c>
      <c r="G283">
        <v>15</v>
      </c>
      <c r="H283" s="9">
        <v>30450</v>
      </c>
      <c r="I283" s="9">
        <v>1827</v>
      </c>
      <c r="J283" s="9">
        <v>28623</v>
      </c>
      <c r="K283" s="9">
        <v>20300</v>
      </c>
      <c r="L283" s="9">
        <v>8323</v>
      </c>
      <c r="M283" s="10">
        <v>41944</v>
      </c>
      <c r="N283">
        <v>11</v>
      </c>
      <c r="O283" t="s">
        <v>31</v>
      </c>
      <c r="P283" t="s">
        <v>15</v>
      </c>
      <c r="Q283" s="15">
        <f>Table2[[#This Row],[Discounts]]/Table2[[#This Row],[Gross Sales]]</f>
        <v>0.06</v>
      </c>
    </row>
    <row r="284" spans="1:17" x14ac:dyDescent="0.35">
      <c r="A284" t="s">
        <v>10</v>
      </c>
      <c r="B284" t="s">
        <v>92</v>
      </c>
      <c r="C284" t="s">
        <v>38</v>
      </c>
      <c r="D284" t="s">
        <v>47</v>
      </c>
      <c r="E284" s="9">
        <v>263</v>
      </c>
      <c r="F284">
        <v>3</v>
      </c>
      <c r="G284">
        <v>7</v>
      </c>
      <c r="H284" s="9">
        <v>1841</v>
      </c>
      <c r="I284" s="9">
        <v>110.46</v>
      </c>
      <c r="J284" s="9">
        <v>1730.54</v>
      </c>
      <c r="K284" s="9">
        <v>1315</v>
      </c>
      <c r="L284" s="9">
        <v>415.53999999999996</v>
      </c>
      <c r="M284" s="10">
        <v>41579</v>
      </c>
      <c r="N284">
        <v>11</v>
      </c>
      <c r="O284" t="s">
        <v>31</v>
      </c>
      <c r="P284" t="s">
        <v>14</v>
      </c>
      <c r="Q284" s="15">
        <f>Table2[[#This Row],[Discounts]]/Table2[[#This Row],[Gross Sales]]</f>
        <v>0.06</v>
      </c>
    </row>
    <row r="285" spans="1:17" x14ac:dyDescent="0.35">
      <c r="A285" t="s">
        <v>9</v>
      </c>
      <c r="B285" t="s">
        <v>19</v>
      </c>
      <c r="C285" t="s">
        <v>38</v>
      </c>
      <c r="D285" t="s">
        <v>47</v>
      </c>
      <c r="E285" s="9">
        <v>887</v>
      </c>
      <c r="F285">
        <v>3</v>
      </c>
      <c r="G285">
        <v>125</v>
      </c>
      <c r="H285" s="9">
        <v>110875</v>
      </c>
      <c r="I285" s="9">
        <v>6652.5</v>
      </c>
      <c r="J285" s="9">
        <v>104222.5</v>
      </c>
      <c r="K285" s="9">
        <v>106440</v>
      </c>
      <c r="L285" s="9">
        <v>-2217.5</v>
      </c>
      <c r="M285" s="10">
        <v>41609</v>
      </c>
      <c r="N285">
        <v>12</v>
      </c>
      <c r="O285" t="s">
        <v>32</v>
      </c>
      <c r="P285" t="s">
        <v>14</v>
      </c>
      <c r="Q285" s="15">
        <f>Table2[[#This Row],[Discounts]]/Table2[[#This Row],[Gross Sales]]</f>
        <v>0.06</v>
      </c>
    </row>
    <row r="286" spans="1:17" x14ac:dyDescent="0.35">
      <c r="A286" t="s">
        <v>10</v>
      </c>
      <c r="B286" t="s">
        <v>20</v>
      </c>
      <c r="C286" t="s">
        <v>39</v>
      </c>
      <c r="D286" t="s">
        <v>47</v>
      </c>
      <c r="E286" s="9">
        <v>980</v>
      </c>
      <c r="F286">
        <v>5</v>
      </c>
      <c r="G286">
        <v>350</v>
      </c>
      <c r="H286" s="9">
        <v>343000</v>
      </c>
      <c r="I286" s="9">
        <v>20580</v>
      </c>
      <c r="J286" s="9">
        <v>322420</v>
      </c>
      <c r="K286" s="9">
        <v>254800</v>
      </c>
      <c r="L286" s="9">
        <v>67620</v>
      </c>
      <c r="M286" s="10">
        <v>41730</v>
      </c>
      <c r="N286">
        <v>4</v>
      </c>
      <c r="O286" t="s">
        <v>24</v>
      </c>
      <c r="P286" t="s">
        <v>15</v>
      </c>
      <c r="Q286" s="15">
        <f>Table2[[#This Row],[Discounts]]/Table2[[#This Row],[Gross Sales]]</f>
        <v>0.06</v>
      </c>
    </row>
    <row r="287" spans="1:17" x14ac:dyDescent="0.35">
      <c r="A287" t="s">
        <v>10</v>
      </c>
      <c r="B287" t="s">
        <v>19</v>
      </c>
      <c r="C287" t="s">
        <v>39</v>
      </c>
      <c r="D287" t="s">
        <v>47</v>
      </c>
      <c r="E287" s="9">
        <v>1460</v>
      </c>
      <c r="F287">
        <v>5</v>
      </c>
      <c r="G287">
        <v>350</v>
      </c>
      <c r="H287" s="9">
        <v>511000</v>
      </c>
      <c r="I287" s="9">
        <v>30660</v>
      </c>
      <c r="J287" s="9">
        <v>480340</v>
      </c>
      <c r="K287" s="9">
        <v>379600</v>
      </c>
      <c r="L287" s="9">
        <v>100740</v>
      </c>
      <c r="M287" s="10">
        <v>41760</v>
      </c>
      <c r="N287">
        <v>5</v>
      </c>
      <c r="O287" t="s">
        <v>25</v>
      </c>
      <c r="P287" t="s">
        <v>15</v>
      </c>
      <c r="Q287" s="15">
        <f>Table2[[#This Row],[Discounts]]/Table2[[#This Row],[Gross Sales]]</f>
        <v>0.06</v>
      </c>
    </row>
    <row r="288" spans="1:17" x14ac:dyDescent="0.35">
      <c r="A288" t="s">
        <v>10</v>
      </c>
      <c r="B288" t="s">
        <v>18</v>
      </c>
      <c r="C288" t="s">
        <v>39</v>
      </c>
      <c r="D288" t="s">
        <v>47</v>
      </c>
      <c r="E288" s="9">
        <v>1403</v>
      </c>
      <c r="F288">
        <v>5</v>
      </c>
      <c r="G288">
        <v>7</v>
      </c>
      <c r="H288" s="9">
        <v>9821</v>
      </c>
      <c r="I288" s="9">
        <v>589.26</v>
      </c>
      <c r="J288" s="9">
        <v>9231.74</v>
      </c>
      <c r="K288" s="9">
        <v>7015</v>
      </c>
      <c r="L288" s="9">
        <v>2216.7399999999998</v>
      </c>
      <c r="M288" s="10">
        <v>41548</v>
      </c>
      <c r="N288">
        <v>10</v>
      </c>
      <c r="O288" t="s">
        <v>30</v>
      </c>
      <c r="P288" t="s">
        <v>14</v>
      </c>
      <c r="Q288" s="15">
        <f>Table2[[#This Row],[Discounts]]/Table2[[#This Row],[Gross Sales]]</f>
        <v>0.06</v>
      </c>
    </row>
    <row r="289" spans="1:17" x14ac:dyDescent="0.35">
      <c r="A289" t="s">
        <v>11</v>
      </c>
      <c r="B289" t="s">
        <v>92</v>
      </c>
      <c r="C289" t="s">
        <v>39</v>
      </c>
      <c r="D289" t="s">
        <v>47</v>
      </c>
      <c r="E289" s="9">
        <v>2723</v>
      </c>
      <c r="F289">
        <v>5</v>
      </c>
      <c r="G289">
        <v>12</v>
      </c>
      <c r="H289" s="9">
        <v>32676</v>
      </c>
      <c r="I289" s="9">
        <v>1960.56</v>
      </c>
      <c r="J289" s="9">
        <v>30715.439999999999</v>
      </c>
      <c r="K289" s="9">
        <v>8169</v>
      </c>
      <c r="L289" s="9">
        <v>22546.44</v>
      </c>
      <c r="M289" s="10">
        <v>41944</v>
      </c>
      <c r="N289">
        <v>11</v>
      </c>
      <c r="O289" t="s">
        <v>31</v>
      </c>
      <c r="P289" t="s">
        <v>15</v>
      </c>
      <c r="Q289" s="15">
        <f>Table2[[#This Row],[Discounts]]/Table2[[#This Row],[Gross Sales]]</f>
        <v>0.06</v>
      </c>
    </row>
    <row r="290" spans="1:17" x14ac:dyDescent="0.35">
      <c r="A290" t="s">
        <v>10</v>
      </c>
      <c r="B290" t="s">
        <v>18</v>
      </c>
      <c r="C290" t="s">
        <v>40</v>
      </c>
      <c r="D290" t="s">
        <v>47</v>
      </c>
      <c r="E290" s="9">
        <v>1496</v>
      </c>
      <c r="F290">
        <v>10</v>
      </c>
      <c r="G290">
        <v>350</v>
      </c>
      <c r="H290" s="9">
        <v>523600</v>
      </c>
      <c r="I290" s="9">
        <v>31416</v>
      </c>
      <c r="J290" s="9">
        <v>492184</v>
      </c>
      <c r="K290" s="9">
        <v>388960</v>
      </c>
      <c r="L290" s="9">
        <v>103224</v>
      </c>
      <c r="M290" s="10">
        <v>41791</v>
      </c>
      <c r="N290">
        <v>6</v>
      </c>
      <c r="O290" t="s">
        <v>26</v>
      </c>
      <c r="P290" t="s">
        <v>15</v>
      </c>
      <c r="Q290" s="15">
        <f>Table2[[#This Row],[Discounts]]/Table2[[#This Row],[Gross Sales]]</f>
        <v>0.06</v>
      </c>
    </row>
    <row r="291" spans="1:17" x14ac:dyDescent="0.35">
      <c r="A291" t="s">
        <v>11</v>
      </c>
      <c r="B291" t="s">
        <v>16</v>
      </c>
      <c r="C291" t="s">
        <v>40</v>
      </c>
      <c r="D291" t="s">
        <v>47</v>
      </c>
      <c r="E291" s="9">
        <v>2299</v>
      </c>
      <c r="F291">
        <v>10</v>
      </c>
      <c r="G291">
        <v>12</v>
      </c>
      <c r="H291" s="9">
        <v>27588</v>
      </c>
      <c r="I291" s="9">
        <v>1655.28</v>
      </c>
      <c r="J291" s="9">
        <v>25932.720000000001</v>
      </c>
      <c r="K291" s="9">
        <v>6897</v>
      </c>
      <c r="L291" s="9">
        <v>19035.72</v>
      </c>
      <c r="M291" s="10">
        <v>41548</v>
      </c>
      <c r="N291">
        <v>10</v>
      </c>
      <c r="O291" t="s">
        <v>30</v>
      </c>
      <c r="P291" t="s">
        <v>14</v>
      </c>
      <c r="Q291" s="15">
        <f>Table2[[#This Row],[Discounts]]/Table2[[#This Row],[Gross Sales]]</f>
        <v>0.06</v>
      </c>
    </row>
    <row r="292" spans="1:17" x14ac:dyDescent="0.35">
      <c r="A292" t="s">
        <v>10</v>
      </c>
      <c r="B292" t="s">
        <v>92</v>
      </c>
      <c r="C292" t="s">
        <v>40</v>
      </c>
      <c r="D292" t="s">
        <v>47</v>
      </c>
      <c r="E292" s="9">
        <v>727</v>
      </c>
      <c r="F292">
        <v>10</v>
      </c>
      <c r="G292">
        <v>350</v>
      </c>
      <c r="H292" s="9">
        <v>254450</v>
      </c>
      <c r="I292" s="9">
        <v>15267</v>
      </c>
      <c r="J292" s="9">
        <v>239183</v>
      </c>
      <c r="K292" s="9">
        <v>189020</v>
      </c>
      <c r="L292" s="9">
        <v>50163</v>
      </c>
      <c r="M292" s="10">
        <v>41548</v>
      </c>
      <c r="N292">
        <v>10</v>
      </c>
      <c r="O292" t="s">
        <v>30</v>
      </c>
      <c r="P292" t="s">
        <v>14</v>
      </c>
      <c r="Q292" s="15">
        <f>Table2[[#This Row],[Discounts]]/Table2[[#This Row],[Gross Sales]]</f>
        <v>0.06</v>
      </c>
    </row>
    <row r="293" spans="1:17" x14ac:dyDescent="0.35">
      <c r="A293" t="s">
        <v>9</v>
      </c>
      <c r="B293" t="s">
        <v>16</v>
      </c>
      <c r="C293" t="s">
        <v>41</v>
      </c>
      <c r="D293" t="s">
        <v>47</v>
      </c>
      <c r="E293" s="9">
        <v>952</v>
      </c>
      <c r="F293">
        <v>120</v>
      </c>
      <c r="G293">
        <v>125</v>
      </c>
      <c r="H293" s="9">
        <v>119000</v>
      </c>
      <c r="I293" s="9">
        <v>7140</v>
      </c>
      <c r="J293" s="9">
        <v>111860</v>
      </c>
      <c r="K293" s="9">
        <v>114240</v>
      </c>
      <c r="L293" s="9">
        <v>-2380</v>
      </c>
      <c r="M293" s="10">
        <v>41671</v>
      </c>
      <c r="N293">
        <v>2</v>
      </c>
      <c r="O293" t="s">
        <v>22</v>
      </c>
      <c r="P293" t="s">
        <v>15</v>
      </c>
      <c r="Q293" s="15">
        <f>Table2[[#This Row],[Discounts]]/Table2[[#This Row],[Gross Sales]]</f>
        <v>0.06</v>
      </c>
    </row>
    <row r="294" spans="1:17" x14ac:dyDescent="0.35">
      <c r="A294" t="s">
        <v>9</v>
      </c>
      <c r="B294" t="s">
        <v>92</v>
      </c>
      <c r="C294" t="s">
        <v>41</v>
      </c>
      <c r="D294" t="s">
        <v>47</v>
      </c>
      <c r="E294" s="9">
        <v>2755</v>
      </c>
      <c r="F294">
        <v>120</v>
      </c>
      <c r="G294">
        <v>125</v>
      </c>
      <c r="H294" s="9">
        <v>344375</v>
      </c>
      <c r="I294" s="9">
        <v>20662.5</v>
      </c>
      <c r="J294" s="9">
        <v>323712.5</v>
      </c>
      <c r="K294" s="9">
        <v>330600</v>
      </c>
      <c r="L294" s="9">
        <v>-6887.5</v>
      </c>
      <c r="M294" s="10">
        <v>41671</v>
      </c>
      <c r="N294">
        <v>2</v>
      </c>
      <c r="O294" t="s">
        <v>22</v>
      </c>
      <c r="P294" t="s">
        <v>15</v>
      </c>
      <c r="Q294" s="15">
        <f>Table2[[#This Row],[Discounts]]/Table2[[#This Row],[Gross Sales]]</f>
        <v>0.06</v>
      </c>
    </row>
    <row r="295" spans="1:17" x14ac:dyDescent="0.35">
      <c r="A295" t="s">
        <v>8</v>
      </c>
      <c r="B295" t="s">
        <v>19</v>
      </c>
      <c r="C295" t="s">
        <v>41</v>
      </c>
      <c r="D295" t="s">
        <v>47</v>
      </c>
      <c r="E295" s="9">
        <v>1530</v>
      </c>
      <c r="F295">
        <v>120</v>
      </c>
      <c r="G295">
        <v>15</v>
      </c>
      <c r="H295" s="9">
        <v>22950</v>
      </c>
      <c r="I295" s="9">
        <v>1377</v>
      </c>
      <c r="J295" s="9">
        <v>21573</v>
      </c>
      <c r="K295" s="9">
        <v>15300</v>
      </c>
      <c r="L295" s="9">
        <v>6273</v>
      </c>
      <c r="M295" s="10">
        <v>41760</v>
      </c>
      <c r="N295">
        <v>5</v>
      </c>
      <c r="O295" t="s">
        <v>25</v>
      </c>
      <c r="P295" t="s">
        <v>15</v>
      </c>
      <c r="Q295" s="15">
        <f>Table2[[#This Row],[Discounts]]/Table2[[#This Row],[Gross Sales]]</f>
        <v>0.06</v>
      </c>
    </row>
    <row r="296" spans="1:17" x14ac:dyDescent="0.35">
      <c r="A296" t="s">
        <v>10</v>
      </c>
      <c r="B296" t="s">
        <v>18</v>
      </c>
      <c r="C296" t="s">
        <v>41</v>
      </c>
      <c r="D296" t="s">
        <v>47</v>
      </c>
      <c r="E296" s="9">
        <v>1496</v>
      </c>
      <c r="F296">
        <v>120</v>
      </c>
      <c r="G296">
        <v>350</v>
      </c>
      <c r="H296" s="9">
        <v>523600</v>
      </c>
      <c r="I296" s="9">
        <v>31416</v>
      </c>
      <c r="J296" s="9">
        <v>492184</v>
      </c>
      <c r="K296" s="9">
        <v>388960</v>
      </c>
      <c r="L296" s="9">
        <v>103224</v>
      </c>
      <c r="M296" s="10">
        <v>41791</v>
      </c>
      <c r="N296">
        <v>6</v>
      </c>
      <c r="O296" t="s">
        <v>26</v>
      </c>
      <c r="P296" t="s">
        <v>15</v>
      </c>
      <c r="Q296" s="15">
        <f>Table2[[#This Row],[Discounts]]/Table2[[#This Row],[Gross Sales]]</f>
        <v>0.06</v>
      </c>
    </row>
    <row r="297" spans="1:17" x14ac:dyDescent="0.35">
      <c r="A297" t="s">
        <v>10</v>
      </c>
      <c r="B297" t="s">
        <v>20</v>
      </c>
      <c r="C297" t="s">
        <v>41</v>
      </c>
      <c r="D297" t="s">
        <v>47</v>
      </c>
      <c r="E297" s="9">
        <v>1498</v>
      </c>
      <c r="F297">
        <v>120</v>
      </c>
      <c r="G297">
        <v>7</v>
      </c>
      <c r="H297" s="9">
        <v>10486</v>
      </c>
      <c r="I297" s="9">
        <v>629.16</v>
      </c>
      <c r="J297" s="9">
        <v>9856.84</v>
      </c>
      <c r="K297" s="9">
        <v>7490</v>
      </c>
      <c r="L297" s="9">
        <v>2366.84</v>
      </c>
      <c r="M297" s="10">
        <v>41791</v>
      </c>
      <c r="N297">
        <v>6</v>
      </c>
      <c r="O297" t="s">
        <v>26</v>
      </c>
      <c r="P297" t="s">
        <v>15</v>
      </c>
      <c r="Q297" s="15">
        <f>Table2[[#This Row],[Discounts]]/Table2[[#This Row],[Gross Sales]]</f>
        <v>0.06</v>
      </c>
    </row>
    <row r="298" spans="1:17" x14ac:dyDescent="0.35">
      <c r="A298" t="s">
        <v>7</v>
      </c>
      <c r="B298" t="s">
        <v>18</v>
      </c>
      <c r="C298" t="s">
        <v>41</v>
      </c>
      <c r="D298" t="s">
        <v>47</v>
      </c>
      <c r="E298" s="9">
        <v>1221</v>
      </c>
      <c r="F298">
        <v>120</v>
      </c>
      <c r="G298">
        <v>300</v>
      </c>
      <c r="H298" s="9">
        <v>366300</v>
      </c>
      <c r="I298" s="9">
        <v>21978</v>
      </c>
      <c r="J298" s="9">
        <v>344322</v>
      </c>
      <c r="K298" s="9">
        <v>305250</v>
      </c>
      <c r="L298" s="9">
        <v>39072</v>
      </c>
      <c r="M298" s="10">
        <v>41548</v>
      </c>
      <c r="N298">
        <v>10</v>
      </c>
      <c r="O298" t="s">
        <v>30</v>
      </c>
      <c r="P298" t="s">
        <v>14</v>
      </c>
      <c r="Q298" s="15">
        <f>Table2[[#This Row],[Discounts]]/Table2[[#This Row],[Gross Sales]]</f>
        <v>0.06</v>
      </c>
    </row>
    <row r="299" spans="1:17" x14ac:dyDescent="0.35">
      <c r="A299" t="s">
        <v>10</v>
      </c>
      <c r="B299" t="s">
        <v>18</v>
      </c>
      <c r="C299" t="s">
        <v>41</v>
      </c>
      <c r="D299" t="s">
        <v>47</v>
      </c>
      <c r="E299" s="9">
        <v>2076</v>
      </c>
      <c r="F299">
        <v>120</v>
      </c>
      <c r="G299">
        <v>350</v>
      </c>
      <c r="H299" s="9">
        <v>726600</v>
      </c>
      <c r="I299" s="9">
        <v>43596</v>
      </c>
      <c r="J299" s="9">
        <v>683004</v>
      </c>
      <c r="K299" s="9">
        <v>539760</v>
      </c>
      <c r="L299" s="9">
        <v>143244</v>
      </c>
      <c r="M299" s="10">
        <v>41548</v>
      </c>
      <c r="N299">
        <v>10</v>
      </c>
      <c r="O299" t="s">
        <v>30</v>
      </c>
      <c r="P299" t="s">
        <v>14</v>
      </c>
      <c r="Q299" s="15">
        <f>Table2[[#This Row],[Discounts]]/Table2[[#This Row],[Gross Sales]]</f>
        <v>0.06</v>
      </c>
    </row>
    <row r="300" spans="1:17" x14ac:dyDescent="0.35">
      <c r="A300" t="s">
        <v>8</v>
      </c>
      <c r="B300" t="s">
        <v>16</v>
      </c>
      <c r="C300" t="s">
        <v>42</v>
      </c>
      <c r="D300" t="s">
        <v>47</v>
      </c>
      <c r="E300" s="9">
        <v>2844</v>
      </c>
      <c r="F300">
        <v>250</v>
      </c>
      <c r="G300">
        <v>15</v>
      </c>
      <c r="H300" s="9">
        <v>42660</v>
      </c>
      <c r="I300" s="9">
        <v>2559.6</v>
      </c>
      <c r="J300" s="9">
        <v>40100.400000000001</v>
      </c>
      <c r="K300" s="9">
        <v>28440</v>
      </c>
      <c r="L300" s="9">
        <v>11660.400000000001</v>
      </c>
      <c r="M300" s="10">
        <v>41791</v>
      </c>
      <c r="N300">
        <v>6</v>
      </c>
      <c r="O300" t="s">
        <v>26</v>
      </c>
      <c r="P300" t="s">
        <v>15</v>
      </c>
      <c r="Q300" s="15">
        <f>Table2[[#This Row],[Discounts]]/Table2[[#This Row],[Gross Sales]]</f>
        <v>0.06</v>
      </c>
    </row>
    <row r="301" spans="1:17" x14ac:dyDescent="0.35">
      <c r="A301" t="s">
        <v>10</v>
      </c>
      <c r="B301" t="s">
        <v>20</v>
      </c>
      <c r="C301" t="s">
        <v>42</v>
      </c>
      <c r="D301" t="s">
        <v>47</v>
      </c>
      <c r="E301" s="9">
        <v>1498</v>
      </c>
      <c r="F301">
        <v>250</v>
      </c>
      <c r="G301">
        <v>7</v>
      </c>
      <c r="H301" s="9">
        <v>10486</v>
      </c>
      <c r="I301" s="9">
        <v>629.16</v>
      </c>
      <c r="J301" s="9">
        <v>9856.84</v>
      </c>
      <c r="K301" s="9">
        <v>7490</v>
      </c>
      <c r="L301" s="9">
        <v>2366.84</v>
      </c>
      <c r="M301" s="10">
        <v>41791</v>
      </c>
      <c r="N301">
        <v>6</v>
      </c>
      <c r="O301" t="s">
        <v>26</v>
      </c>
      <c r="P301" t="s">
        <v>15</v>
      </c>
      <c r="Q301" s="15">
        <f>Table2[[#This Row],[Discounts]]/Table2[[#This Row],[Gross Sales]]</f>
        <v>0.06</v>
      </c>
    </row>
    <row r="302" spans="1:17" x14ac:dyDescent="0.35">
      <c r="A302" t="s">
        <v>7</v>
      </c>
      <c r="B302" t="s">
        <v>18</v>
      </c>
      <c r="C302" t="s">
        <v>42</v>
      </c>
      <c r="D302" t="s">
        <v>47</v>
      </c>
      <c r="E302" s="9">
        <v>1221</v>
      </c>
      <c r="F302">
        <v>250</v>
      </c>
      <c r="G302">
        <v>300</v>
      </c>
      <c r="H302" s="9">
        <v>366300</v>
      </c>
      <c r="I302" s="9">
        <v>21978</v>
      </c>
      <c r="J302" s="9">
        <v>344322</v>
      </c>
      <c r="K302" s="9">
        <v>305250</v>
      </c>
      <c r="L302" s="9">
        <v>39072</v>
      </c>
      <c r="M302" s="10">
        <v>41548</v>
      </c>
      <c r="N302">
        <v>10</v>
      </c>
      <c r="O302" t="s">
        <v>30</v>
      </c>
      <c r="P302" t="s">
        <v>14</v>
      </c>
      <c r="Q302" s="15">
        <f>Table2[[#This Row],[Discounts]]/Table2[[#This Row],[Gross Sales]]</f>
        <v>0.06</v>
      </c>
    </row>
    <row r="303" spans="1:17" x14ac:dyDescent="0.35">
      <c r="A303" t="s">
        <v>10</v>
      </c>
      <c r="B303" t="s">
        <v>20</v>
      </c>
      <c r="C303" t="s">
        <v>42</v>
      </c>
      <c r="D303" t="s">
        <v>47</v>
      </c>
      <c r="E303" s="9">
        <v>1123</v>
      </c>
      <c r="F303">
        <v>250</v>
      </c>
      <c r="G303">
        <v>20</v>
      </c>
      <c r="H303" s="9">
        <v>22460</v>
      </c>
      <c r="I303" s="9">
        <v>1347.6</v>
      </c>
      <c r="J303" s="9">
        <v>21112.400000000001</v>
      </c>
      <c r="K303" s="9">
        <v>11230</v>
      </c>
      <c r="L303" s="9">
        <v>9882.4000000000015</v>
      </c>
      <c r="M303" s="10">
        <v>41579</v>
      </c>
      <c r="N303">
        <v>11</v>
      </c>
      <c r="O303" t="s">
        <v>31</v>
      </c>
      <c r="P303" t="s">
        <v>14</v>
      </c>
      <c r="Q303" s="15">
        <f>Table2[[#This Row],[Discounts]]/Table2[[#This Row],[Gross Sales]]</f>
        <v>0.06</v>
      </c>
    </row>
    <row r="304" spans="1:17" x14ac:dyDescent="0.35">
      <c r="A304" t="s">
        <v>7</v>
      </c>
      <c r="B304" t="s">
        <v>16</v>
      </c>
      <c r="C304" t="s">
        <v>42</v>
      </c>
      <c r="D304" t="s">
        <v>47</v>
      </c>
      <c r="E304" s="9">
        <v>2436</v>
      </c>
      <c r="F304">
        <v>250</v>
      </c>
      <c r="G304">
        <v>300</v>
      </c>
      <c r="H304" s="9">
        <v>730800</v>
      </c>
      <c r="I304" s="9">
        <v>43848</v>
      </c>
      <c r="J304" s="9">
        <v>686952</v>
      </c>
      <c r="K304" s="9">
        <v>609000</v>
      </c>
      <c r="L304" s="9">
        <v>77952</v>
      </c>
      <c r="M304" s="10">
        <v>41609</v>
      </c>
      <c r="N304">
        <v>12</v>
      </c>
      <c r="O304" t="s">
        <v>32</v>
      </c>
      <c r="P304" t="s">
        <v>14</v>
      </c>
      <c r="Q304" s="15">
        <f>Table2[[#This Row],[Discounts]]/Table2[[#This Row],[Gross Sales]]</f>
        <v>0.06</v>
      </c>
    </row>
    <row r="305" spans="1:17" x14ac:dyDescent="0.35">
      <c r="A305" t="s">
        <v>9</v>
      </c>
      <c r="B305" t="s">
        <v>18</v>
      </c>
      <c r="C305" t="s">
        <v>43</v>
      </c>
      <c r="D305" t="s">
        <v>47</v>
      </c>
      <c r="E305" s="9">
        <v>1987.5</v>
      </c>
      <c r="F305">
        <v>260</v>
      </c>
      <c r="G305">
        <v>125</v>
      </c>
      <c r="H305" s="9">
        <v>248437.5</v>
      </c>
      <c r="I305" s="9">
        <v>14906.25</v>
      </c>
      <c r="J305" s="9">
        <v>233531.25</v>
      </c>
      <c r="K305" s="9">
        <v>238500</v>
      </c>
      <c r="L305" s="9">
        <v>-4968.75</v>
      </c>
      <c r="M305" s="10">
        <v>41640</v>
      </c>
      <c r="N305">
        <v>1</v>
      </c>
      <c r="O305" t="s">
        <v>21</v>
      </c>
      <c r="P305" t="s">
        <v>15</v>
      </c>
      <c r="Q305" s="15">
        <f>Table2[[#This Row],[Discounts]]/Table2[[#This Row],[Gross Sales]]</f>
        <v>0.06</v>
      </c>
    </row>
    <row r="306" spans="1:17" x14ac:dyDescent="0.35">
      <c r="A306" t="s">
        <v>10</v>
      </c>
      <c r="B306" t="s">
        <v>20</v>
      </c>
      <c r="C306" t="s">
        <v>43</v>
      </c>
      <c r="D306" t="s">
        <v>47</v>
      </c>
      <c r="E306" s="9">
        <v>1679</v>
      </c>
      <c r="F306">
        <v>260</v>
      </c>
      <c r="G306">
        <v>350</v>
      </c>
      <c r="H306" s="9">
        <v>587650</v>
      </c>
      <c r="I306" s="9">
        <v>35259</v>
      </c>
      <c r="J306" s="9">
        <v>552391</v>
      </c>
      <c r="K306" s="9">
        <v>436540</v>
      </c>
      <c r="L306" s="9">
        <v>115851</v>
      </c>
      <c r="M306" s="10">
        <v>41883</v>
      </c>
      <c r="N306">
        <v>9</v>
      </c>
      <c r="O306" t="s">
        <v>29</v>
      </c>
      <c r="P306" t="s">
        <v>15</v>
      </c>
      <c r="Q306" s="15">
        <f>Table2[[#This Row],[Discounts]]/Table2[[#This Row],[Gross Sales]]</f>
        <v>0.06</v>
      </c>
    </row>
    <row r="307" spans="1:17" x14ac:dyDescent="0.35">
      <c r="A307" t="s">
        <v>10</v>
      </c>
      <c r="B307" t="s">
        <v>92</v>
      </c>
      <c r="C307" t="s">
        <v>43</v>
      </c>
      <c r="D307" t="s">
        <v>47</v>
      </c>
      <c r="E307" s="9">
        <v>727</v>
      </c>
      <c r="F307">
        <v>260</v>
      </c>
      <c r="G307">
        <v>350</v>
      </c>
      <c r="H307" s="9">
        <v>254450</v>
      </c>
      <c r="I307" s="9">
        <v>15267</v>
      </c>
      <c r="J307" s="9">
        <v>239183</v>
      </c>
      <c r="K307" s="9">
        <v>189020</v>
      </c>
      <c r="L307" s="9">
        <v>50163</v>
      </c>
      <c r="M307" s="10">
        <v>41548</v>
      </c>
      <c r="N307">
        <v>10</v>
      </c>
      <c r="O307" t="s">
        <v>30</v>
      </c>
      <c r="P307" t="s">
        <v>14</v>
      </c>
      <c r="Q307" s="15">
        <f>Table2[[#This Row],[Discounts]]/Table2[[#This Row],[Gross Sales]]</f>
        <v>0.06</v>
      </c>
    </row>
    <row r="308" spans="1:17" x14ac:dyDescent="0.35">
      <c r="A308" t="s">
        <v>10</v>
      </c>
      <c r="B308" t="s">
        <v>18</v>
      </c>
      <c r="C308" t="s">
        <v>43</v>
      </c>
      <c r="D308" t="s">
        <v>47</v>
      </c>
      <c r="E308" s="9">
        <v>1403</v>
      </c>
      <c r="F308">
        <v>260</v>
      </c>
      <c r="G308">
        <v>7</v>
      </c>
      <c r="H308" s="9">
        <v>9821</v>
      </c>
      <c r="I308" s="9">
        <v>589.26</v>
      </c>
      <c r="J308" s="9">
        <v>9231.74</v>
      </c>
      <c r="K308" s="9">
        <v>7015</v>
      </c>
      <c r="L308" s="9">
        <v>2216.7399999999998</v>
      </c>
      <c r="M308" s="10">
        <v>41548</v>
      </c>
      <c r="N308">
        <v>10</v>
      </c>
      <c r="O308" t="s">
        <v>30</v>
      </c>
      <c r="P308" t="s">
        <v>14</v>
      </c>
      <c r="Q308" s="15">
        <f>Table2[[#This Row],[Discounts]]/Table2[[#This Row],[Gross Sales]]</f>
        <v>0.06</v>
      </c>
    </row>
    <row r="309" spans="1:17" x14ac:dyDescent="0.35">
      <c r="A309" t="s">
        <v>10</v>
      </c>
      <c r="B309" t="s">
        <v>18</v>
      </c>
      <c r="C309" t="s">
        <v>43</v>
      </c>
      <c r="D309" t="s">
        <v>47</v>
      </c>
      <c r="E309" s="9">
        <v>2076</v>
      </c>
      <c r="F309">
        <v>260</v>
      </c>
      <c r="G309">
        <v>350</v>
      </c>
      <c r="H309" s="9">
        <v>726600</v>
      </c>
      <c r="I309" s="9">
        <v>43596</v>
      </c>
      <c r="J309" s="9">
        <v>683004</v>
      </c>
      <c r="K309" s="9">
        <v>539760</v>
      </c>
      <c r="L309" s="9">
        <v>143244</v>
      </c>
      <c r="M309" s="10">
        <v>41548</v>
      </c>
      <c r="N309">
        <v>10</v>
      </c>
      <c r="O309" t="s">
        <v>30</v>
      </c>
      <c r="P309" t="s">
        <v>14</v>
      </c>
      <c r="Q309" s="15">
        <f>Table2[[#This Row],[Discounts]]/Table2[[#This Row],[Gross Sales]]</f>
        <v>0.06</v>
      </c>
    </row>
    <row r="310" spans="1:17" x14ac:dyDescent="0.35">
      <c r="A310" t="s">
        <v>10</v>
      </c>
      <c r="B310" t="s">
        <v>18</v>
      </c>
      <c r="C310" t="s">
        <v>39</v>
      </c>
      <c r="D310" t="s">
        <v>47</v>
      </c>
      <c r="E310" s="9">
        <v>1757</v>
      </c>
      <c r="F310">
        <v>5</v>
      </c>
      <c r="G310">
        <v>20</v>
      </c>
      <c r="H310" s="9">
        <v>35140</v>
      </c>
      <c r="I310" s="9">
        <v>2108.4</v>
      </c>
      <c r="J310" s="9">
        <v>33031.599999999999</v>
      </c>
      <c r="K310" s="9">
        <v>17570</v>
      </c>
      <c r="L310" s="9">
        <v>15461.599999999999</v>
      </c>
      <c r="M310" s="10">
        <v>41548</v>
      </c>
      <c r="N310">
        <v>10</v>
      </c>
      <c r="O310" t="s">
        <v>30</v>
      </c>
      <c r="P310" t="s">
        <v>14</v>
      </c>
      <c r="Q310" s="15">
        <f>Table2[[#This Row],[Discounts]]/Table2[[#This Row],[Gross Sales]]</f>
        <v>6.0000000000000005E-2</v>
      </c>
    </row>
    <row r="311" spans="1:17" x14ac:dyDescent="0.35">
      <c r="A311" t="s">
        <v>8</v>
      </c>
      <c r="B311" t="s">
        <v>92</v>
      </c>
      <c r="C311" t="s">
        <v>40</v>
      </c>
      <c r="D311" t="s">
        <v>47</v>
      </c>
      <c r="E311" s="9">
        <v>2198</v>
      </c>
      <c r="F311">
        <v>10</v>
      </c>
      <c r="G311">
        <v>15</v>
      </c>
      <c r="H311" s="9">
        <v>32970</v>
      </c>
      <c r="I311" s="9">
        <v>1978.2</v>
      </c>
      <c r="J311" s="9">
        <v>30991.8</v>
      </c>
      <c r="K311" s="9">
        <v>21980</v>
      </c>
      <c r="L311" s="9">
        <v>9011.7999999999993</v>
      </c>
      <c r="M311" s="10">
        <v>41852</v>
      </c>
      <c r="N311">
        <v>8</v>
      </c>
      <c r="O311" t="s">
        <v>28</v>
      </c>
      <c r="P311" t="s">
        <v>15</v>
      </c>
      <c r="Q311" s="15">
        <f>Table2[[#This Row],[Discounts]]/Table2[[#This Row],[Gross Sales]]</f>
        <v>6.0000000000000005E-2</v>
      </c>
    </row>
    <row r="312" spans="1:17" x14ac:dyDescent="0.35">
      <c r="A312" t="s">
        <v>8</v>
      </c>
      <c r="B312" t="s">
        <v>19</v>
      </c>
      <c r="C312" t="s">
        <v>40</v>
      </c>
      <c r="D312" t="s">
        <v>47</v>
      </c>
      <c r="E312" s="9">
        <v>1743</v>
      </c>
      <c r="F312">
        <v>10</v>
      </c>
      <c r="G312">
        <v>15</v>
      </c>
      <c r="H312" s="9">
        <v>26145</v>
      </c>
      <c r="I312" s="9">
        <v>1568.7</v>
      </c>
      <c r="J312" s="9">
        <v>24576.3</v>
      </c>
      <c r="K312" s="9">
        <v>17430</v>
      </c>
      <c r="L312" s="9">
        <v>7146.2999999999993</v>
      </c>
      <c r="M312" s="10">
        <v>41852</v>
      </c>
      <c r="N312">
        <v>8</v>
      </c>
      <c r="O312" t="s">
        <v>28</v>
      </c>
      <c r="P312" t="s">
        <v>15</v>
      </c>
      <c r="Q312" s="15">
        <f>Table2[[#This Row],[Discounts]]/Table2[[#This Row],[Gross Sales]]</f>
        <v>6.0000000000000005E-2</v>
      </c>
    </row>
    <row r="313" spans="1:17" x14ac:dyDescent="0.35">
      <c r="A313" t="s">
        <v>8</v>
      </c>
      <c r="B313" t="s">
        <v>92</v>
      </c>
      <c r="C313" t="s">
        <v>40</v>
      </c>
      <c r="D313" t="s">
        <v>47</v>
      </c>
      <c r="E313" s="9">
        <v>1153</v>
      </c>
      <c r="F313">
        <v>10</v>
      </c>
      <c r="G313">
        <v>15</v>
      </c>
      <c r="H313" s="9">
        <v>17295</v>
      </c>
      <c r="I313" s="9">
        <v>1037.7</v>
      </c>
      <c r="J313" s="9">
        <v>16257.3</v>
      </c>
      <c r="K313" s="9">
        <v>11530</v>
      </c>
      <c r="L313" s="9">
        <v>4727.2999999999993</v>
      </c>
      <c r="M313" s="10">
        <v>41913</v>
      </c>
      <c r="N313">
        <v>10</v>
      </c>
      <c r="O313" t="s">
        <v>30</v>
      </c>
      <c r="P313" t="s">
        <v>15</v>
      </c>
      <c r="Q313" s="15">
        <f>Table2[[#This Row],[Discounts]]/Table2[[#This Row],[Gross Sales]]</f>
        <v>6.0000000000000005E-2</v>
      </c>
    </row>
    <row r="314" spans="1:17" x14ac:dyDescent="0.35">
      <c r="A314" t="s">
        <v>10</v>
      </c>
      <c r="B314" t="s">
        <v>18</v>
      </c>
      <c r="C314" t="s">
        <v>40</v>
      </c>
      <c r="D314" t="s">
        <v>47</v>
      </c>
      <c r="E314" s="9">
        <v>1757</v>
      </c>
      <c r="F314">
        <v>10</v>
      </c>
      <c r="G314">
        <v>20</v>
      </c>
      <c r="H314" s="9">
        <v>35140</v>
      </c>
      <c r="I314" s="9">
        <v>2108.4</v>
      </c>
      <c r="J314" s="9">
        <v>33031.599999999999</v>
      </c>
      <c r="K314" s="9">
        <v>17570</v>
      </c>
      <c r="L314" s="9">
        <v>15461.599999999999</v>
      </c>
      <c r="M314" s="10">
        <v>41548</v>
      </c>
      <c r="N314">
        <v>10</v>
      </c>
      <c r="O314" t="s">
        <v>30</v>
      </c>
      <c r="P314" t="s">
        <v>14</v>
      </c>
      <c r="Q314" s="15">
        <f>Table2[[#This Row],[Discounts]]/Table2[[#This Row],[Gross Sales]]</f>
        <v>6.0000000000000005E-2</v>
      </c>
    </row>
    <row r="315" spans="1:17" x14ac:dyDescent="0.35">
      <c r="A315" t="s">
        <v>10</v>
      </c>
      <c r="B315" t="s">
        <v>19</v>
      </c>
      <c r="C315" t="s">
        <v>41</v>
      </c>
      <c r="D315" t="s">
        <v>47</v>
      </c>
      <c r="E315" s="9">
        <v>1001</v>
      </c>
      <c r="F315">
        <v>120</v>
      </c>
      <c r="G315">
        <v>20</v>
      </c>
      <c r="H315" s="9">
        <v>20020</v>
      </c>
      <c r="I315" s="9">
        <v>1201.2</v>
      </c>
      <c r="J315" s="9">
        <v>18818.8</v>
      </c>
      <c r="K315" s="9">
        <v>10010</v>
      </c>
      <c r="L315" s="9">
        <v>8808.7999999999993</v>
      </c>
      <c r="M315" s="10">
        <v>41852</v>
      </c>
      <c r="N315">
        <v>8</v>
      </c>
      <c r="O315" t="s">
        <v>28</v>
      </c>
      <c r="P315" t="s">
        <v>15</v>
      </c>
      <c r="Q315" s="15">
        <f>Table2[[#This Row],[Discounts]]/Table2[[#This Row],[Gross Sales]]</f>
        <v>6.0000000000000005E-2</v>
      </c>
    </row>
    <row r="316" spans="1:17" x14ac:dyDescent="0.35">
      <c r="A316" t="s">
        <v>10</v>
      </c>
      <c r="B316" t="s">
        <v>20</v>
      </c>
      <c r="C316" t="s">
        <v>41</v>
      </c>
      <c r="D316" t="s">
        <v>47</v>
      </c>
      <c r="E316" s="9">
        <v>1333</v>
      </c>
      <c r="F316">
        <v>120</v>
      </c>
      <c r="G316">
        <v>7</v>
      </c>
      <c r="H316" s="9">
        <v>9331</v>
      </c>
      <c r="I316" s="9">
        <v>559.86</v>
      </c>
      <c r="J316" s="9">
        <v>8771.14</v>
      </c>
      <c r="K316" s="9">
        <v>6665</v>
      </c>
      <c r="L316" s="9">
        <v>2106.1399999999994</v>
      </c>
      <c r="M316" s="10">
        <v>41944</v>
      </c>
      <c r="N316">
        <v>11</v>
      </c>
      <c r="O316" t="s">
        <v>31</v>
      </c>
      <c r="P316" t="s">
        <v>15</v>
      </c>
      <c r="Q316" s="15">
        <f>Table2[[#This Row],[Discounts]]/Table2[[#This Row],[Gross Sales]]</f>
        <v>6.0000000000000005E-2</v>
      </c>
    </row>
    <row r="317" spans="1:17" x14ac:dyDescent="0.35">
      <c r="A317" t="s">
        <v>8</v>
      </c>
      <c r="B317" t="s">
        <v>92</v>
      </c>
      <c r="C317" t="s">
        <v>42</v>
      </c>
      <c r="D317" t="s">
        <v>47</v>
      </c>
      <c r="E317" s="9">
        <v>1153</v>
      </c>
      <c r="F317">
        <v>250</v>
      </c>
      <c r="G317">
        <v>15</v>
      </c>
      <c r="H317" s="9">
        <v>17295</v>
      </c>
      <c r="I317" s="9">
        <v>1037.7</v>
      </c>
      <c r="J317" s="9">
        <v>16257.3</v>
      </c>
      <c r="K317" s="9">
        <v>11530</v>
      </c>
      <c r="L317" s="9">
        <v>4727.2999999999993</v>
      </c>
      <c r="M317" s="10">
        <v>41913</v>
      </c>
      <c r="N317">
        <v>10</v>
      </c>
      <c r="O317" t="s">
        <v>30</v>
      </c>
      <c r="P317" t="s">
        <v>15</v>
      </c>
      <c r="Q317" s="15">
        <f>Table2[[#This Row],[Discounts]]/Table2[[#This Row],[Gross Sales]]</f>
        <v>6.0000000000000005E-2</v>
      </c>
    </row>
    <row r="318" spans="1:17" x14ac:dyDescent="0.35">
      <c r="A318" t="s">
        <v>11</v>
      </c>
      <c r="B318" t="s">
        <v>20</v>
      </c>
      <c r="C318" t="s">
        <v>38</v>
      </c>
      <c r="D318" t="s">
        <v>47</v>
      </c>
      <c r="E318" s="9">
        <v>727</v>
      </c>
      <c r="F318">
        <v>3</v>
      </c>
      <c r="G318">
        <v>12</v>
      </c>
      <c r="H318" s="9">
        <v>8724</v>
      </c>
      <c r="I318" s="9">
        <v>610.67999999999995</v>
      </c>
      <c r="J318" s="9">
        <v>8113.32</v>
      </c>
      <c r="K318" s="9">
        <v>2181</v>
      </c>
      <c r="L318" s="9">
        <v>5932.32</v>
      </c>
      <c r="M318" s="10">
        <v>41671</v>
      </c>
      <c r="N318">
        <v>2</v>
      </c>
      <c r="O318" t="s">
        <v>22</v>
      </c>
      <c r="P318" t="s">
        <v>15</v>
      </c>
      <c r="Q318" s="15">
        <f>Table2[[#This Row],[Discounts]]/Table2[[#This Row],[Gross Sales]]</f>
        <v>6.9999999999999993E-2</v>
      </c>
    </row>
    <row r="319" spans="1:17" x14ac:dyDescent="0.35">
      <c r="A319" t="s">
        <v>11</v>
      </c>
      <c r="B319" t="s">
        <v>16</v>
      </c>
      <c r="C319" t="s">
        <v>38</v>
      </c>
      <c r="D319" t="s">
        <v>47</v>
      </c>
      <c r="E319" s="9">
        <v>1884</v>
      </c>
      <c r="F319">
        <v>3</v>
      </c>
      <c r="G319">
        <v>12</v>
      </c>
      <c r="H319" s="9">
        <v>22608</v>
      </c>
      <c r="I319" s="9">
        <v>1582.56</v>
      </c>
      <c r="J319" s="9">
        <v>21025.439999999999</v>
      </c>
      <c r="K319" s="9">
        <v>5652</v>
      </c>
      <c r="L319" s="9">
        <v>15373.439999999999</v>
      </c>
      <c r="M319" s="10">
        <v>41852</v>
      </c>
      <c r="N319">
        <v>8</v>
      </c>
      <c r="O319" t="s">
        <v>28</v>
      </c>
      <c r="P319" t="s">
        <v>15</v>
      </c>
      <c r="Q319" s="15">
        <f>Table2[[#This Row],[Discounts]]/Table2[[#This Row],[Gross Sales]]</f>
        <v>6.9999999999999993E-2</v>
      </c>
    </row>
    <row r="320" spans="1:17" x14ac:dyDescent="0.35">
      <c r="A320" t="s">
        <v>10</v>
      </c>
      <c r="B320" t="s">
        <v>20</v>
      </c>
      <c r="C320" t="s">
        <v>38</v>
      </c>
      <c r="D320" t="s">
        <v>47</v>
      </c>
      <c r="E320" s="9">
        <v>1834</v>
      </c>
      <c r="F320">
        <v>3</v>
      </c>
      <c r="G320">
        <v>20</v>
      </c>
      <c r="H320" s="9">
        <v>36680</v>
      </c>
      <c r="I320" s="9">
        <v>2567.6</v>
      </c>
      <c r="J320" s="9">
        <v>34112.400000000001</v>
      </c>
      <c r="K320" s="9">
        <v>18340</v>
      </c>
      <c r="L320" s="9">
        <v>15772.400000000001</v>
      </c>
      <c r="M320" s="10">
        <v>41518</v>
      </c>
      <c r="N320">
        <v>9</v>
      </c>
      <c r="O320" t="s">
        <v>29</v>
      </c>
      <c r="P320" t="s">
        <v>14</v>
      </c>
      <c r="Q320" s="15">
        <f>Table2[[#This Row],[Discounts]]/Table2[[#This Row],[Gross Sales]]</f>
        <v>6.9999999999999993E-2</v>
      </c>
    </row>
    <row r="321" spans="1:17" x14ac:dyDescent="0.35">
      <c r="A321" t="s">
        <v>11</v>
      </c>
      <c r="B321" t="s">
        <v>20</v>
      </c>
      <c r="C321" t="s">
        <v>39</v>
      </c>
      <c r="D321" t="s">
        <v>47</v>
      </c>
      <c r="E321" s="9">
        <v>2340</v>
      </c>
      <c r="F321">
        <v>5</v>
      </c>
      <c r="G321">
        <v>12</v>
      </c>
      <c r="H321" s="9">
        <v>28080</v>
      </c>
      <c r="I321" s="9">
        <v>1965.6</v>
      </c>
      <c r="J321" s="9">
        <v>26114.400000000001</v>
      </c>
      <c r="K321" s="9">
        <v>7020</v>
      </c>
      <c r="L321" s="9">
        <v>19094.400000000001</v>
      </c>
      <c r="M321" s="10">
        <v>41640</v>
      </c>
      <c r="N321">
        <v>1</v>
      </c>
      <c r="O321" t="s">
        <v>21</v>
      </c>
      <c r="P321" t="s">
        <v>15</v>
      </c>
      <c r="Q321" s="15">
        <f>Table2[[#This Row],[Discounts]]/Table2[[#This Row],[Gross Sales]]</f>
        <v>6.9999999999999993E-2</v>
      </c>
    </row>
    <row r="322" spans="1:17" x14ac:dyDescent="0.35">
      <c r="A322" t="s">
        <v>11</v>
      </c>
      <c r="B322" t="s">
        <v>18</v>
      </c>
      <c r="C322" t="s">
        <v>39</v>
      </c>
      <c r="D322" t="s">
        <v>47</v>
      </c>
      <c r="E322" s="9">
        <v>2342</v>
      </c>
      <c r="F322">
        <v>5</v>
      </c>
      <c r="G322">
        <v>12</v>
      </c>
      <c r="H322" s="9">
        <v>28104</v>
      </c>
      <c r="I322" s="9">
        <v>1967.28</v>
      </c>
      <c r="J322" s="9">
        <v>26136.720000000001</v>
      </c>
      <c r="K322" s="9">
        <v>7026</v>
      </c>
      <c r="L322" s="9">
        <v>19110.72</v>
      </c>
      <c r="M322" s="10">
        <v>41944</v>
      </c>
      <c r="N322">
        <v>11</v>
      </c>
      <c r="O322" t="s">
        <v>31</v>
      </c>
      <c r="P322" t="s">
        <v>15</v>
      </c>
      <c r="Q322" s="15">
        <f>Table2[[#This Row],[Discounts]]/Table2[[#This Row],[Gross Sales]]</f>
        <v>6.9999999999999993E-2</v>
      </c>
    </row>
    <row r="323" spans="1:17" x14ac:dyDescent="0.35">
      <c r="A323" t="s">
        <v>10</v>
      </c>
      <c r="B323" t="s">
        <v>18</v>
      </c>
      <c r="C323" t="s">
        <v>40</v>
      </c>
      <c r="D323" t="s">
        <v>47</v>
      </c>
      <c r="E323" s="9">
        <v>1031</v>
      </c>
      <c r="F323">
        <v>10</v>
      </c>
      <c r="G323">
        <v>7</v>
      </c>
      <c r="H323" s="9">
        <v>7217</v>
      </c>
      <c r="I323" s="9">
        <v>505.19</v>
      </c>
      <c r="J323" s="9">
        <v>6711.81</v>
      </c>
      <c r="K323" s="9">
        <v>5155</v>
      </c>
      <c r="L323" s="9">
        <v>1556.8100000000004</v>
      </c>
      <c r="M323" s="10">
        <v>41518</v>
      </c>
      <c r="N323">
        <v>9</v>
      </c>
      <c r="O323" t="s">
        <v>29</v>
      </c>
      <c r="P323" t="s">
        <v>14</v>
      </c>
      <c r="Q323" s="15">
        <f>Table2[[#This Row],[Discounts]]/Table2[[#This Row],[Gross Sales]]</f>
        <v>6.9999999999999993E-2</v>
      </c>
    </row>
    <row r="324" spans="1:17" x14ac:dyDescent="0.35">
      <c r="A324" t="s">
        <v>8</v>
      </c>
      <c r="B324" t="s">
        <v>16</v>
      </c>
      <c r="C324" t="s">
        <v>41</v>
      </c>
      <c r="D324" t="s">
        <v>47</v>
      </c>
      <c r="E324" s="9">
        <v>1262</v>
      </c>
      <c r="F324">
        <v>120</v>
      </c>
      <c r="G324">
        <v>15</v>
      </c>
      <c r="H324" s="9">
        <v>18930</v>
      </c>
      <c r="I324" s="9">
        <v>1325.1</v>
      </c>
      <c r="J324" s="9">
        <v>17604.900000000001</v>
      </c>
      <c r="K324" s="9">
        <v>12620</v>
      </c>
      <c r="L324" s="9">
        <v>4984.9000000000015</v>
      </c>
      <c r="M324" s="10">
        <v>41760</v>
      </c>
      <c r="N324">
        <v>5</v>
      </c>
      <c r="O324" t="s">
        <v>25</v>
      </c>
      <c r="P324" t="s">
        <v>15</v>
      </c>
      <c r="Q324" s="15">
        <f>Table2[[#This Row],[Discounts]]/Table2[[#This Row],[Gross Sales]]</f>
        <v>6.9999999999999993E-2</v>
      </c>
    </row>
    <row r="325" spans="1:17" x14ac:dyDescent="0.35">
      <c r="A325" t="s">
        <v>10</v>
      </c>
      <c r="B325" t="s">
        <v>16</v>
      </c>
      <c r="C325" t="s">
        <v>41</v>
      </c>
      <c r="D325" t="s">
        <v>47</v>
      </c>
      <c r="E325" s="9">
        <v>1135</v>
      </c>
      <c r="F325">
        <v>120</v>
      </c>
      <c r="G325">
        <v>7</v>
      </c>
      <c r="H325" s="9">
        <v>7945</v>
      </c>
      <c r="I325" s="9">
        <v>556.15</v>
      </c>
      <c r="J325" s="9">
        <v>7388.85</v>
      </c>
      <c r="K325" s="9">
        <v>5675</v>
      </c>
      <c r="L325" s="9">
        <v>1713.8500000000004</v>
      </c>
      <c r="M325" s="10">
        <v>41791</v>
      </c>
      <c r="N325">
        <v>6</v>
      </c>
      <c r="O325" t="s">
        <v>26</v>
      </c>
      <c r="P325" t="s">
        <v>15</v>
      </c>
      <c r="Q325" s="15">
        <f>Table2[[#This Row],[Discounts]]/Table2[[#This Row],[Gross Sales]]</f>
        <v>6.9999999999999993E-2</v>
      </c>
    </row>
    <row r="326" spans="1:17" x14ac:dyDescent="0.35">
      <c r="A326" t="s">
        <v>10</v>
      </c>
      <c r="B326" t="s">
        <v>92</v>
      </c>
      <c r="C326" t="s">
        <v>41</v>
      </c>
      <c r="D326" t="s">
        <v>47</v>
      </c>
      <c r="E326" s="9">
        <v>547</v>
      </c>
      <c r="F326">
        <v>120</v>
      </c>
      <c r="G326">
        <v>7</v>
      </c>
      <c r="H326" s="9">
        <v>3829</v>
      </c>
      <c r="I326" s="9">
        <v>268.02999999999997</v>
      </c>
      <c r="J326" s="9">
        <v>3560.9700000000003</v>
      </c>
      <c r="K326" s="9">
        <v>2735</v>
      </c>
      <c r="L326" s="9">
        <v>825.97000000000025</v>
      </c>
      <c r="M326" s="10">
        <v>41944</v>
      </c>
      <c r="N326">
        <v>11</v>
      </c>
      <c r="O326" t="s">
        <v>31</v>
      </c>
      <c r="P326" t="s">
        <v>15</v>
      </c>
      <c r="Q326" s="15">
        <f>Table2[[#This Row],[Discounts]]/Table2[[#This Row],[Gross Sales]]</f>
        <v>6.9999999999999993E-2</v>
      </c>
    </row>
    <row r="327" spans="1:17" x14ac:dyDescent="0.35">
      <c r="A327" t="s">
        <v>10</v>
      </c>
      <c r="B327" t="s">
        <v>16</v>
      </c>
      <c r="C327" t="s">
        <v>41</v>
      </c>
      <c r="D327" t="s">
        <v>47</v>
      </c>
      <c r="E327" s="9">
        <v>1582</v>
      </c>
      <c r="F327">
        <v>120</v>
      </c>
      <c r="G327">
        <v>7</v>
      </c>
      <c r="H327" s="9">
        <v>11074</v>
      </c>
      <c r="I327" s="9">
        <v>775.18</v>
      </c>
      <c r="J327" s="9">
        <v>10298.82</v>
      </c>
      <c r="K327" s="9">
        <v>7910</v>
      </c>
      <c r="L327" s="9">
        <v>2388.8199999999997</v>
      </c>
      <c r="M327" s="10">
        <v>41974</v>
      </c>
      <c r="N327">
        <v>12</v>
      </c>
      <c r="O327" t="s">
        <v>32</v>
      </c>
      <c r="P327" t="s">
        <v>15</v>
      </c>
      <c r="Q327" s="15">
        <f>Table2[[#This Row],[Discounts]]/Table2[[#This Row],[Gross Sales]]</f>
        <v>6.9999999999999993E-2</v>
      </c>
    </row>
    <row r="328" spans="1:17" x14ac:dyDescent="0.35">
      <c r="A328" t="s">
        <v>11</v>
      </c>
      <c r="B328" t="s">
        <v>18</v>
      </c>
      <c r="C328" t="s">
        <v>42</v>
      </c>
      <c r="D328" t="s">
        <v>47</v>
      </c>
      <c r="E328" s="9">
        <v>1738.5</v>
      </c>
      <c r="F328">
        <v>250</v>
      </c>
      <c r="G328">
        <v>12</v>
      </c>
      <c r="H328" s="9">
        <v>20862</v>
      </c>
      <c r="I328" s="9">
        <v>1460.34</v>
      </c>
      <c r="J328" s="9">
        <v>19401.66</v>
      </c>
      <c r="K328" s="9">
        <v>5215.5</v>
      </c>
      <c r="L328" s="9">
        <v>14186.16</v>
      </c>
      <c r="M328" s="10">
        <v>41730</v>
      </c>
      <c r="N328">
        <v>4</v>
      </c>
      <c r="O328" t="s">
        <v>24</v>
      </c>
      <c r="P328" t="s">
        <v>15</v>
      </c>
      <c r="Q328" s="15">
        <f>Table2[[#This Row],[Discounts]]/Table2[[#This Row],[Gross Sales]]</f>
        <v>6.9999999999999993E-2</v>
      </c>
    </row>
    <row r="329" spans="1:17" x14ac:dyDescent="0.35">
      <c r="A329" t="s">
        <v>11</v>
      </c>
      <c r="B329" t="s">
        <v>19</v>
      </c>
      <c r="C329" t="s">
        <v>42</v>
      </c>
      <c r="D329" t="s">
        <v>47</v>
      </c>
      <c r="E329" s="9">
        <v>2215</v>
      </c>
      <c r="F329">
        <v>250</v>
      </c>
      <c r="G329">
        <v>12</v>
      </c>
      <c r="H329" s="9">
        <v>26580</v>
      </c>
      <c r="I329" s="9">
        <v>1860.6</v>
      </c>
      <c r="J329" s="9">
        <v>24719.4</v>
      </c>
      <c r="K329" s="9">
        <v>6645</v>
      </c>
      <c r="L329" s="9">
        <v>18074.400000000001</v>
      </c>
      <c r="M329" s="10">
        <v>41518</v>
      </c>
      <c r="N329">
        <v>9</v>
      </c>
      <c r="O329" t="s">
        <v>29</v>
      </c>
      <c r="P329" t="s">
        <v>14</v>
      </c>
      <c r="Q329" s="15">
        <f>Table2[[#This Row],[Discounts]]/Table2[[#This Row],[Gross Sales]]</f>
        <v>6.9999999999999993E-2</v>
      </c>
    </row>
    <row r="330" spans="1:17" x14ac:dyDescent="0.35">
      <c r="A330" t="s">
        <v>10</v>
      </c>
      <c r="B330" t="s">
        <v>16</v>
      </c>
      <c r="C330" t="s">
        <v>42</v>
      </c>
      <c r="D330" t="s">
        <v>47</v>
      </c>
      <c r="E330" s="9">
        <v>1582</v>
      </c>
      <c r="F330">
        <v>250</v>
      </c>
      <c r="G330">
        <v>7</v>
      </c>
      <c r="H330" s="9">
        <v>11074</v>
      </c>
      <c r="I330" s="9">
        <v>775.18</v>
      </c>
      <c r="J330" s="9">
        <v>10298.82</v>
      </c>
      <c r="K330" s="9">
        <v>7910</v>
      </c>
      <c r="L330" s="9">
        <v>2388.8199999999997</v>
      </c>
      <c r="M330" s="10">
        <v>41974</v>
      </c>
      <c r="N330">
        <v>12</v>
      </c>
      <c r="O330" t="s">
        <v>32</v>
      </c>
      <c r="P330" t="s">
        <v>15</v>
      </c>
      <c r="Q330" s="15">
        <f>Table2[[#This Row],[Discounts]]/Table2[[#This Row],[Gross Sales]]</f>
        <v>6.9999999999999993E-2</v>
      </c>
    </row>
    <row r="331" spans="1:17" x14ac:dyDescent="0.35">
      <c r="A331" t="s">
        <v>10</v>
      </c>
      <c r="B331" t="s">
        <v>16</v>
      </c>
      <c r="C331" t="s">
        <v>43</v>
      </c>
      <c r="D331" t="s">
        <v>47</v>
      </c>
      <c r="E331" s="9">
        <v>1135</v>
      </c>
      <c r="F331">
        <v>260</v>
      </c>
      <c r="G331">
        <v>7</v>
      </c>
      <c r="H331" s="9">
        <v>7945</v>
      </c>
      <c r="I331" s="9">
        <v>556.15</v>
      </c>
      <c r="J331" s="9">
        <v>7388.85</v>
      </c>
      <c r="K331" s="9">
        <v>5675</v>
      </c>
      <c r="L331" s="9">
        <v>1713.8500000000004</v>
      </c>
      <c r="M331" s="10">
        <v>41791</v>
      </c>
      <c r="N331">
        <v>6</v>
      </c>
      <c r="O331" t="s">
        <v>26</v>
      </c>
      <c r="P331" t="s">
        <v>15</v>
      </c>
      <c r="Q331" s="15">
        <f>Table2[[#This Row],[Discounts]]/Table2[[#This Row],[Gross Sales]]</f>
        <v>6.9999999999999993E-2</v>
      </c>
    </row>
    <row r="332" spans="1:17" x14ac:dyDescent="0.35">
      <c r="A332" t="s">
        <v>10</v>
      </c>
      <c r="B332" t="s">
        <v>92</v>
      </c>
      <c r="C332" t="s">
        <v>38</v>
      </c>
      <c r="D332" t="s">
        <v>47</v>
      </c>
      <c r="E332" s="9">
        <v>1761</v>
      </c>
      <c r="F332">
        <v>3</v>
      </c>
      <c r="G332">
        <v>350</v>
      </c>
      <c r="H332" s="9">
        <v>616350</v>
      </c>
      <c r="I332" s="9">
        <v>43144.5</v>
      </c>
      <c r="J332" s="9">
        <v>573205.5</v>
      </c>
      <c r="K332" s="9">
        <v>457860</v>
      </c>
      <c r="L332" s="9">
        <v>115345.5</v>
      </c>
      <c r="M332" s="10">
        <v>41699</v>
      </c>
      <c r="N332">
        <v>3</v>
      </c>
      <c r="O332" t="s">
        <v>23</v>
      </c>
      <c r="P332" t="s">
        <v>15</v>
      </c>
      <c r="Q332" s="15">
        <f>Table2[[#This Row],[Discounts]]/Table2[[#This Row],[Gross Sales]]</f>
        <v>7.0000000000000007E-2</v>
      </c>
    </row>
    <row r="333" spans="1:17" x14ac:dyDescent="0.35">
      <c r="A333" t="s">
        <v>7</v>
      </c>
      <c r="B333" t="s">
        <v>18</v>
      </c>
      <c r="C333" t="s">
        <v>38</v>
      </c>
      <c r="D333" t="s">
        <v>47</v>
      </c>
      <c r="E333" s="9">
        <v>448</v>
      </c>
      <c r="F333">
        <v>3</v>
      </c>
      <c r="G333">
        <v>300</v>
      </c>
      <c r="H333" s="9">
        <v>134400</v>
      </c>
      <c r="I333" s="9">
        <v>9408</v>
      </c>
      <c r="J333" s="9">
        <v>124992</v>
      </c>
      <c r="K333" s="9">
        <v>112000</v>
      </c>
      <c r="L333" s="9">
        <v>12992</v>
      </c>
      <c r="M333" s="10">
        <v>41791</v>
      </c>
      <c r="N333">
        <v>6</v>
      </c>
      <c r="O333" t="s">
        <v>26</v>
      </c>
      <c r="P333" t="s">
        <v>15</v>
      </c>
      <c r="Q333" s="15">
        <f>Table2[[#This Row],[Discounts]]/Table2[[#This Row],[Gross Sales]]</f>
        <v>7.0000000000000007E-2</v>
      </c>
    </row>
    <row r="334" spans="1:17" x14ac:dyDescent="0.35">
      <c r="A334" t="s">
        <v>7</v>
      </c>
      <c r="B334" t="s">
        <v>18</v>
      </c>
      <c r="C334" t="s">
        <v>38</v>
      </c>
      <c r="D334" t="s">
        <v>47</v>
      </c>
      <c r="E334" s="9">
        <v>2181</v>
      </c>
      <c r="F334">
        <v>3</v>
      </c>
      <c r="G334">
        <v>300</v>
      </c>
      <c r="H334" s="9">
        <v>654300</v>
      </c>
      <c r="I334" s="9">
        <v>45801</v>
      </c>
      <c r="J334" s="9">
        <v>608499</v>
      </c>
      <c r="K334" s="9">
        <v>545250</v>
      </c>
      <c r="L334" s="9">
        <v>63249</v>
      </c>
      <c r="M334" s="10">
        <v>41913</v>
      </c>
      <c r="N334">
        <v>10</v>
      </c>
      <c r="O334" t="s">
        <v>30</v>
      </c>
      <c r="P334" t="s">
        <v>15</v>
      </c>
      <c r="Q334" s="15">
        <f>Table2[[#This Row],[Discounts]]/Table2[[#This Row],[Gross Sales]]</f>
        <v>7.0000000000000007E-2</v>
      </c>
    </row>
    <row r="335" spans="1:17" x14ac:dyDescent="0.35">
      <c r="A335" t="s">
        <v>10</v>
      </c>
      <c r="B335" t="s">
        <v>18</v>
      </c>
      <c r="C335" t="s">
        <v>39</v>
      </c>
      <c r="D335" t="s">
        <v>47</v>
      </c>
      <c r="E335" s="9">
        <v>1976</v>
      </c>
      <c r="F335">
        <v>5</v>
      </c>
      <c r="G335">
        <v>20</v>
      </c>
      <c r="H335" s="9">
        <v>39520</v>
      </c>
      <c r="I335" s="9">
        <v>2766.4</v>
      </c>
      <c r="J335" s="9">
        <v>36753.599999999999</v>
      </c>
      <c r="K335" s="9">
        <v>19760</v>
      </c>
      <c r="L335" s="9">
        <v>16993.599999999999</v>
      </c>
      <c r="M335" s="10">
        <v>41913</v>
      </c>
      <c r="N335">
        <v>10</v>
      </c>
      <c r="O335" t="s">
        <v>30</v>
      </c>
      <c r="P335" t="s">
        <v>15</v>
      </c>
      <c r="Q335" s="15">
        <f>Table2[[#This Row],[Discounts]]/Table2[[#This Row],[Gross Sales]]</f>
        <v>7.0000000000000007E-2</v>
      </c>
    </row>
    <row r="336" spans="1:17" x14ac:dyDescent="0.35">
      <c r="A336" t="s">
        <v>7</v>
      </c>
      <c r="B336" t="s">
        <v>18</v>
      </c>
      <c r="C336" t="s">
        <v>39</v>
      </c>
      <c r="D336" t="s">
        <v>47</v>
      </c>
      <c r="E336" s="9">
        <v>2181</v>
      </c>
      <c r="F336">
        <v>5</v>
      </c>
      <c r="G336">
        <v>300</v>
      </c>
      <c r="H336" s="9">
        <v>654300</v>
      </c>
      <c r="I336" s="9">
        <v>45801</v>
      </c>
      <c r="J336" s="9">
        <v>608499</v>
      </c>
      <c r="K336" s="9">
        <v>545250</v>
      </c>
      <c r="L336" s="9">
        <v>63249</v>
      </c>
      <c r="M336" s="10">
        <v>41913</v>
      </c>
      <c r="N336">
        <v>10</v>
      </c>
      <c r="O336" t="s">
        <v>30</v>
      </c>
      <c r="P336" t="s">
        <v>15</v>
      </c>
      <c r="Q336" s="15">
        <f>Table2[[#This Row],[Discounts]]/Table2[[#This Row],[Gross Sales]]</f>
        <v>7.0000000000000007E-2</v>
      </c>
    </row>
    <row r="337" spans="1:17" x14ac:dyDescent="0.35">
      <c r="A337" t="s">
        <v>9</v>
      </c>
      <c r="B337" t="s">
        <v>19</v>
      </c>
      <c r="C337" t="s">
        <v>39</v>
      </c>
      <c r="D337" t="s">
        <v>47</v>
      </c>
      <c r="E337" s="9">
        <v>2500</v>
      </c>
      <c r="F337">
        <v>5</v>
      </c>
      <c r="G337">
        <v>125</v>
      </c>
      <c r="H337" s="9">
        <v>312500</v>
      </c>
      <c r="I337" s="9">
        <v>21875</v>
      </c>
      <c r="J337" s="9">
        <v>290625</v>
      </c>
      <c r="K337" s="9">
        <v>300000</v>
      </c>
      <c r="L337" s="9">
        <v>-9375</v>
      </c>
      <c r="M337" s="10">
        <v>41579</v>
      </c>
      <c r="N337">
        <v>11</v>
      </c>
      <c r="O337" t="s">
        <v>31</v>
      </c>
      <c r="P337" t="s">
        <v>14</v>
      </c>
      <c r="Q337" s="15">
        <f>Table2[[#This Row],[Discounts]]/Table2[[#This Row],[Gross Sales]]</f>
        <v>7.0000000000000007E-2</v>
      </c>
    </row>
    <row r="338" spans="1:17" x14ac:dyDescent="0.35">
      <c r="A338" t="s">
        <v>7</v>
      </c>
      <c r="B338" t="s">
        <v>16</v>
      </c>
      <c r="C338" t="s">
        <v>40</v>
      </c>
      <c r="D338" t="s">
        <v>47</v>
      </c>
      <c r="E338" s="9">
        <v>1702</v>
      </c>
      <c r="F338">
        <v>10</v>
      </c>
      <c r="G338">
        <v>300</v>
      </c>
      <c r="H338" s="9">
        <v>510600</v>
      </c>
      <c r="I338" s="9">
        <v>35742</v>
      </c>
      <c r="J338" s="9">
        <v>474858</v>
      </c>
      <c r="K338" s="9">
        <v>425500</v>
      </c>
      <c r="L338" s="9">
        <v>49358</v>
      </c>
      <c r="M338" s="10">
        <v>41760</v>
      </c>
      <c r="N338">
        <v>5</v>
      </c>
      <c r="O338" t="s">
        <v>25</v>
      </c>
      <c r="P338" t="s">
        <v>15</v>
      </c>
      <c r="Q338" s="15">
        <f>Table2[[#This Row],[Discounts]]/Table2[[#This Row],[Gross Sales]]</f>
        <v>7.0000000000000007E-2</v>
      </c>
    </row>
    <row r="339" spans="1:17" x14ac:dyDescent="0.35">
      <c r="A339" t="s">
        <v>7</v>
      </c>
      <c r="B339" t="s">
        <v>18</v>
      </c>
      <c r="C339" t="s">
        <v>40</v>
      </c>
      <c r="D339" t="s">
        <v>47</v>
      </c>
      <c r="E339" s="9">
        <v>448</v>
      </c>
      <c r="F339">
        <v>10</v>
      </c>
      <c r="G339">
        <v>300</v>
      </c>
      <c r="H339" s="9">
        <v>134400</v>
      </c>
      <c r="I339" s="9">
        <v>9408</v>
      </c>
      <c r="J339" s="9">
        <v>124992</v>
      </c>
      <c r="K339" s="9">
        <v>112000</v>
      </c>
      <c r="L339" s="9">
        <v>12992</v>
      </c>
      <c r="M339" s="10">
        <v>41791</v>
      </c>
      <c r="N339">
        <v>6</v>
      </c>
      <c r="O339" t="s">
        <v>26</v>
      </c>
      <c r="P339" t="s">
        <v>15</v>
      </c>
      <c r="Q339" s="15">
        <f>Table2[[#This Row],[Discounts]]/Table2[[#This Row],[Gross Sales]]</f>
        <v>7.0000000000000007E-2</v>
      </c>
    </row>
    <row r="340" spans="1:17" x14ac:dyDescent="0.35">
      <c r="A340" t="s">
        <v>9</v>
      </c>
      <c r="B340" t="s">
        <v>19</v>
      </c>
      <c r="C340" t="s">
        <v>40</v>
      </c>
      <c r="D340" t="s">
        <v>47</v>
      </c>
      <c r="E340" s="9">
        <v>3513</v>
      </c>
      <c r="F340">
        <v>10</v>
      </c>
      <c r="G340">
        <v>125</v>
      </c>
      <c r="H340" s="9">
        <v>439125</v>
      </c>
      <c r="I340" s="9">
        <v>30738.75</v>
      </c>
      <c r="J340" s="9">
        <v>408386.25</v>
      </c>
      <c r="K340" s="9">
        <v>421560</v>
      </c>
      <c r="L340" s="9">
        <v>-13173.75</v>
      </c>
      <c r="M340" s="10">
        <v>41821</v>
      </c>
      <c r="N340">
        <v>7</v>
      </c>
      <c r="O340" t="s">
        <v>27</v>
      </c>
      <c r="P340" t="s">
        <v>15</v>
      </c>
      <c r="Q340" s="15">
        <f>Table2[[#This Row],[Discounts]]/Table2[[#This Row],[Gross Sales]]</f>
        <v>7.0000000000000007E-2</v>
      </c>
    </row>
    <row r="341" spans="1:17" x14ac:dyDescent="0.35">
      <c r="A341" t="s">
        <v>8</v>
      </c>
      <c r="B341" t="s">
        <v>18</v>
      </c>
      <c r="C341" t="s">
        <v>40</v>
      </c>
      <c r="D341" t="s">
        <v>47</v>
      </c>
      <c r="E341" s="9">
        <v>2101</v>
      </c>
      <c r="F341">
        <v>10</v>
      </c>
      <c r="G341">
        <v>15</v>
      </c>
      <c r="H341" s="9">
        <v>31515</v>
      </c>
      <c r="I341" s="9">
        <v>2206.0500000000002</v>
      </c>
      <c r="J341" s="9">
        <v>29308.95</v>
      </c>
      <c r="K341" s="9">
        <v>21010</v>
      </c>
      <c r="L341" s="9">
        <v>8298.9500000000007</v>
      </c>
      <c r="M341" s="10">
        <v>41852</v>
      </c>
      <c r="N341">
        <v>8</v>
      </c>
      <c r="O341" t="s">
        <v>28</v>
      </c>
      <c r="P341" t="s">
        <v>15</v>
      </c>
      <c r="Q341" s="15">
        <f>Table2[[#This Row],[Discounts]]/Table2[[#This Row],[Gross Sales]]</f>
        <v>7.0000000000000007E-2</v>
      </c>
    </row>
    <row r="342" spans="1:17" x14ac:dyDescent="0.35">
      <c r="A342" t="s">
        <v>8</v>
      </c>
      <c r="B342" t="s">
        <v>92</v>
      </c>
      <c r="C342" t="s">
        <v>40</v>
      </c>
      <c r="D342" t="s">
        <v>47</v>
      </c>
      <c r="E342" s="9">
        <v>2931</v>
      </c>
      <c r="F342">
        <v>10</v>
      </c>
      <c r="G342">
        <v>15</v>
      </c>
      <c r="H342" s="9">
        <v>43965</v>
      </c>
      <c r="I342" s="9">
        <v>3077.55</v>
      </c>
      <c r="J342" s="9">
        <v>40887.449999999997</v>
      </c>
      <c r="K342" s="9">
        <v>29310</v>
      </c>
      <c r="L342" s="9">
        <v>11577.449999999997</v>
      </c>
      <c r="M342" s="10">
        <v>41518</v>
      </c>
      <c r="N342">
        <v>9</v>
      </c>
      <c r="O342" t="s">
        <v>29</v>
      </c>
      <c r="P342" t="s">
        <v>14</v>
      </c>
      <c r="Q342" s="15">
        <f>Table2[[#This Row],[Discounts]]/Table2[[#This Row],[Gross Sales]]</f>
        <v>7.0000000000000007E-2</v>
      </c>
    </row>
    <row r="343" spans="1:17" x14ac:dyDescent="0.35">
      <c r="A343" t="s">
        <v>10</v>
      </c>
      <c r="B343" t="s">
        <v>18</v>
      </c>
      <c r="C343" t="s">
        <v>40</v>
      </c>
      <c r="D343" t="s">
        <v>47</v>
      </c>
      <c r="E343" s="9">
        <v>1535</v>
      </c>
      <c r="F343">
        <v>10</v>
      </c>
      <c r="G343">
        <v>20</v>
      </c>
      <c r="H343" s="9">
        <v>30700</v>
      </c>
      <c r="I343" s="9">
        <v>2149</v>
      </c>
      <c r="J343" s="9">
        <v>28551</v>
      </c>
      <c r="K343" s="9">
        <v>15350</v>
      </c>
      <c r="L343" s="9">
        <v>13201</v>
      </c>
      <c r="M343" s="10">
        <v>41883</v>
      </c>
      <c r="N343">
        <v>9</v>
      </c>
      <c r="O343" t="s">
        <v>29</v>
      </c>
      <c r="P343" t="s">
        <v>15</v>
      </c>
      <c r="Q343" s="15">
        <f>Table2[[#This Row],[Discounts]]/Table2[[#This Row],[Gross Sales]]</f>
        <v>7.0000000000000007E-2</v>
      </c>
    </row>
    <row r="344" spans="1:17" x14ac:dyDescent="0.35">
      <c r="A344" t="s">
        <v>7</v>
      </c>
      <c r="B344" t="s">
        <v>19</v>
      </c>
      <c r="C344" t="s">
        <v>40</v>
      </c>
      <c r="D344" t="s">
        <v>47</v>
      </c>
      <c r="E344" s="9">
        <v>1123</v>
      </c>
      <c r="F344">
        <v>10</v>
      </c>
      <c r="G344">
        <v>300</v>
      </c>
      <c r="H344" s="9">
        <v>336900</v>
      </c>
      <c r="I344" s="9">
        <v>23583</v>
      </c>
      <c r="J344" s="9">
        <v>313317</v>
      </c>
      <c r="K344" s="9">
        <v>280750</v>
      </c>
      <c r="L344" s="9">
        <v>32567</v>
      </c>
      <c r="M344" s="10">
        <v>41518</v>
      </c>
      <c r="N344">
        <v>9</v>
      </c>
      <c r="O344" t="s">
        <v>29</v>
      </c>
      <c r="P344" t="s">
        <v>14</v>
      </c>
      <c r="Q344" s="15">
        <f>Table2[[#This Row],[Discounts]]/Table2[[#This Row],[Gross Sales]]</f>
        <v>7.0000000000000007E-2</v>
      </c>
    </row>
    <row r="345" spans="1:17" x14ac:dyDescent="0.35">
      <c r="A345" t="s">
        <v>7</v>
      </c>
      <c r="B345" t="s">
        <v>16</v>
      </c>
      <c r="C345" t="s">
        <v>40</v>
      </c>
      <c r="D345" t="s">
        <v>47</v>
      </c>
      <c r="E345" s="9">
        <v>1404</v>
      </c>
      <c r="F345">
        <v>10</v>
      </c>
      <c r="G345">
        <v>300</v>
      </c>
      <c r="H345" s="9">
        <v>421200</v>
      </c>
      <c r="I345" s="9">
        <v>29484</v>
      </c>
      <c r="J345" s="9">
        <v>391716</v>
      </c>
      <c r="K345" s="9">
        <v>351000</v>
      </c>
      <c r="L345" s="9">
        <v>40716</v>
      </c>
      <c r="M345" s="10">
        <v>41579</v>
      </c>
      <c r="N345">
        <v>11</v>
      </c>
      <c r="O345" t="s">
        <v>31</v>
      </c>
      <c r="P345" t="s">
        <v>14</v>
      </c>
      <c r="Q345" s="15">
        <f>Table2[[#This Row],[Discounts]]/Table2[[#This Row],[Gross Sales]]</f>
        <v>7.0000000000000007E-2</v>
      </c>
    </row>
    <row r="346" spans="1:17" x14ac:dyDescent="0.35">
      <c r="A346" t="s">
        <v>11</v>
      </c>
      <c r="B346" t="s">
        <v>20</v>
      </c>
      <c r="C346" t="s">
        <v>40</v>
      </c>
      <c r="D346" t="s">
        <v>47</v>
      </c>
      <c r="E346" s="9">
        <v>2763</v>
      </c>
      <c r="F346">
        <v>10</v>
      </c>
      <c r="G346">
        <v>12</v>
      </c>
      <c r="H346" s="9">
        <v>33156</v>
      </c>
      <c r="I346" s="9">
        <v>2320.92</v>
      </c>
      <c r="J346" s="9">
        <v>30835.08</v>
      </c>
      <c r="K346" s="9">
        <v>8289</v>
      </c>
      <c r="L346" s="9">
        <v>22546.080000000002</v>
      </c>
      <c r="M346" s="10">
        <v>41579</v>
      </c>
      <c r="N346">
        <v>11</v>
      </c>
      <c r="O346" t="s">
        <v>31</v>
      </c>
      <c r="P346" t="s">
        <v>14</v>
      </c>
      <c r="Q346" s="15">
        <f>Table2[[#This Row],[Discounts]]/Table2[[#This Row],[Gross Sales]]</f>
        <v>7.0000000000000007E-2</v>
      </c>
    </row>
    <row r="347" spans="1:17" x14ac:dyDescent="0.35">
      <c r="A347" t="s">
        <v>10</v>
      </c>
      <c r="B347" t="s">
        <v>19</v>
      </c>
      <c r="C347" t="s">
        <v>40</v>
      </c>
      <c r="D347" t="s">
        <v>47</v>
      </c>
      <c r="E347" s="9">
        <v>2125</v>
      </c>
      <c r="F347">
        <v>10</v>
      </c>
      <c r="G347">
        <v>7</v>
      </c>
      <c r="H347" s="9">
        <v>14875</v>
      </c>
      <c r="I347" s="9">
        <v>1041.25</v>
      </c>
      <c r="J347" s="9">
        <v>13833.75</v>
      </c>
      <c r="K347" s="9">
        <v>10625</v>
      </c>
      <c r="L347" s="9">
        <v>3208.75</v>
      </c>
      <c r="M347" s="10">
        <v>41609</v>
      </c>
      <c r="N347">
        <v>12</v>
      </c>
      <c r="O347" t="s">
        <v>32</v>
      </c>
      <c r="P347" t="s">
        <v>14</v>
      </c>
      <c r="Q347" s="15">
        <f>Table2[[#This Row],[Discounts]]/Table2[[#This Row],[Gross Sales]]</f>
        <v>7.0000000000000007E-2</v>
      </c>
    </row>
    <row r="348" spans="1:17" x14ac:dyDescent="0.35">
      <c r="A348" t="s">
        <v>7</v>
      </c>
      <c r="B348" t="s">
        <v>18</v>
      </c>
      <c r="C348" t="s">
        <v>41</v>
      </c>
      <c r="D348" t="s">
        <v>47</v>
      </c>
      <c r="E348" s="9">
        <v>1659</v>
      </c>
      <c r="F348">
        <v>120</v>
      </c>
      <c r="G348">
        <v>300</v>
      </c>
      <c r="H348" s="9">
        <v>497700</v>
      </c>
      <c r="I348" s="9">
        <v>34839</v>
      </c>
      <c r="J348" s="9">
        <v>462861</v>
      </c>
      <c r="K348" s="9">
        <v>414750</v>
      </c>
      <c r="L348" s="9">
        <v>48111</v>
      </c>
      <c r="M348" s="10">
        <v>41821</v>
      </c>
      <c r="N348">
        <v>7</v>
      </c>
      <c r="O348" t="s">
        <v>27</v>
      </c>
      <c r="P348" t="s">
        <v>15</v>
      </c>
      <c r="Q348" s="15">
        <f>Table2[[#This Row],[Discounts]]/Table2[[#This Row],[Gross Sales]]</f>
        <v>7.0000000000000007E-2</v>
      </c>
    </row>
    <row r="349" spans="1:17" x14ac:dyDescent="0.35">
      <c r="A349" t="s">
        <v>10</v>
      </c>
      <c r="B349" t="s">
        <v>20</v>
      </c>
      <c r="C349" t="s">
        <v>41</v>
      </c>
      <c r="D349" t="s">
        <v>47</v>
      </c>
      <c r="E349" s="9">
        <v>609</v>
      </c>
      <c r="F349">
        <v>120</v>
      </c>
      <c r="G349">
        <v>20</v>
      </c>
      <c r="H349" s="9">
        <v>12180</v>
      </c>
      <c r="I349" s="9">
        <v>852.6</v>
      </c>
      <c r="J349" s="9">
        <v>11327.4</v>
      </c>
      <c r="K349" s="9">
        <v>6090</v>
      </c>
      <c r="L349" s="9">
        <v>5237.3999999999996</v>
      </c>
      <c r="M349" s="10">
        <v>41852</v>
      </c>
      <c r="N349">
        <v>8</v>
      </c>
      <c r="O349" t="s">
        <v>28</v>
      </c>
      <c r="P349" t="s">
        <v>15</v>
      </c>
      <c r="Q349" s="15">
        <f>Table2[[#This Row],[Discounts]]/Table2[[#This Row],[Gross Sales]]</f>
        <v>7.0000000000000007E-2</v>
      </c>
    </row>
    <row r="350" spans="1:17" x14ac:dyDescent="0.35">
      <c r="A350" t="s">
        <v>9</v>
      </c>
      <c r="B350" t="s">
        <v>19</v>
      </c>
      <c r="C350" t="s">
        <v>41</v>
      </c>
      <c r="D350" t="s">
        <v>47</v>
      </c>
      <c r="E350" s="9">
        <v>2087</v>
      </c>
      <c r="F350">
        <v>120</v>
      </c>
      <c r="G350">
        <v>125</v>
      </c>
      <c r="H350" s="9">
        <v>260875</v>
      </c>
      <c r="I350" s="9">
        <v>18261.25</v>
      </c>
      <c r="J350" s="9">
        <v>242613.75</v>
      </c>
      <c r="K350" s="9">
        <v>250440</v>
      </c>
      <c r="L350" s="9">
        <v>-7826.25</v>
      </c>
      <c r="M350" s="10">
        <v>41883</v>
      </c>
      <c r="N350">
        <v>9</v>
      </c>
      <c r="O350" t="s">
        <v>29</v>
      </c>
      <c r="P350" t="s">
        <v>15</v>
      </c>
      <c r="Q350" s="15">
        <f>Table2[[#This Row],[Discounts]]/Table2[[#This Row],[Gross Sales]]</f>
        <v>7.0000000000000007E-2</v>
      </c>
    </row>
    <row r="351" spans="1:17" x14ac:dyDescent="0.35">
      <c r="A351" t="s">
        <v>10</v>
      </c>
      <c r="B351" t="s">
        <v>18</v>
      </c>
      <c r="C351" t="s">
        <v>41</v>
      </c>
      <c r="D351" t="s">
        <v>47</v>
      </c>
      <c r="E351" s="9">
        <v>1976</v>
      </c>
      <c r="F351">
        <v>120</v>
      </c>
      <c r="G351">
        <v>20</v>
      </c>
      <c r="H351" s="9">
        <v>39520</v>
      </c>
      <c r="I351" s="9">
        <v>2766.4</v>
      </c>
      <c r="J351" s="9">
        <v>36753.599999999999</v>
      </c>
      <c r="K351" s="9">
        <v>19760</v>
      </c>
      <c r="L351" s="9">
        <v>16993.599999999999</v>
      </c>
      <c r="M351" s="10">
        <v>41913</v>
      </c>
      <c r="N351">
        <v>10</v>
      </c>
      <c r="O351" t="s">
        <v>30</v>
      </c>
      <c r="P351" t="s">
        <v>15</v>
      </c>
      <c r="Q351" s="15">
        <f>Table2[[#This Row],[Discounts]]/Table2[[#This Row],[Gross Sales]]</f>
        <v>7.0000000000000007E-2</v>
      </c>
    </row>
    <row r="352" spans="1:17" x14ac:dyDescent="0.35">
      <c r="A352" t="s">
        <v>10</v>
      </c>
      <c r="B352" t="s">
        <v>92</v>
      </c>
      <c r="C352" t="s">
        <v>41</v>
      </c>
      <c r="D352" t="s">
        <v>47</v>
      </c>
      <c r="E352" s="9">
        <v>1421</v>
      </c>
      <c r="F352">
        <v>120</v>
      </c>
      <c r="G352">
        <v>20</v>
      </c>
      <c r="H352" s="9">
        <v>28420</v>
      </c>
      <c r="I352" s="9">
        <v>1989.4</v>
      </c>
      <c r="J352" s="9">
        <v>26430.6</v>
      </c>
      <c r="K352" s="9">
        <v>14210</v>
      </c>
      <c r="L352" s="9">
        <v>12220.599999999999</v>
      </c>
      <c r="M352" s="10">
        <v>41609</v>
      </c>
      <c r="N352">
        <v>12</v>
      </c>
      <c r="O352" t="s">
        <v>32</v>
      </c>
      <c r="P352" t="s">
        <v>14</v>
      </c>
      <c r="Q352" s="15">
        <f>Table2[[#This Row],[Discounts]]/Table2[[#This Row],[Gross Sales]]</f>
        <v>7.0000000000000007E-2</v>
      </c>
    </row>
    <row r="353" spans="1:17" x14ac:dyDescent="0.35">
      <c r="A353" t="s">
        <v>7</v>
      </c>
      <c r="B353" t="s">
        <v>92</v>
      </c>
      <c r="C353" t="s">
        <v>41</v>
      </c>
      <c r="D353" t="s">
        <v>47</v>
      </c>
      <c r="E353" s="9">
        <v>1372</v>
      </c>
      <c r="F353">
        <v>120</v>
      </c>
      <c r="G353">
        <v>300</v>
      </c>
      <c r="H353" s="9">
        <v>411600</v>
      </c>
      <c r="I353" s="9">
        <v>28812</v>
      </c>
      <c r="J353" s="9">
        <v>382788</v>
      </c>
      <c r="K353" s="9">
        <v>343000</v>
      </c>
      <c r="L353" s="9">
        <v>39788</v>
      </c>
      <c r="M353" s="10">
        <v>41974</v>
      </c>
      <c r="N353">
        <v>12</v>
      </c>
      <c r="O353" t="s">
        <v>32</v>
      </c>
      <c r="P353" t="s">
        <v>15</v>
      </c>
      <c r="Q353" s="15">
        <f>Table2[[#This Row],[Discounts]]/Table2[[#This Row],[Gross Sales]]</f>
        <v>7.0000000000000007E-2</v>
      </c>
    </row>
    <row r="354" spans="1:17" x14ac:dyDescent="0.35">
      <c r="A354" t="s">
        <v>10</v>
      </c>
      <c r="B354" t="s">
        <v>19</v>
      </c>
      <c r="C354" t="s">
        <v>41</v>
      </c>
      <c r="D354" t="s">
        <v>47</v>
      </c>
      <c r="E354" s="9">
        <v>588</v>
      </c>
      <c r="F354">
        <v>120</v>
      </c>
      <c r="G354">
        <v>20</v>
      </c>
      <c r="H354" s="9">
        <v>11760</v>
      </c>
      <c r="I354" s="9">
        <v>823.2</v>
      </c>
      <c r="J354" s="9">
        <v>10936.8</v>
      </c>
      <c r="K354" s="9">
        <v>5880</v>
      </c>
      <c r="L354" s="9">
        <v>5056.7999999999993</v>
      </c>
      <c r="M354" s="10">
        <v>41609</v>
      </c>
      <c r="N354">
        <v>12</v>
      </c>
      <c r="O354" t="s">
        <v>32</v>
      </c>
      <c r="P354" t="s">
        <v>14</v>
      </c>
      <c r="Q354" s="15">
        <f>Table2[[#This Row],[Discounts]]/Table2[[#This Row],[Gross Sales]]</f>
        <v>7.0000000000000007E-2</v>
      </c>
    </row>
    <row r="355" spans="1:17" x14ac:dyDescent="0.35">
      <c r="A355" t="s">
        <v>11</v>
      </c>
      <c r="B355" t="s">
        <v>16</v>
      </c>
      <c r="C355" t="s">
        <v>42</v>
      </c>
      <c r="D355" t="s">
        <v>47</v>
      </c>
      <c r="E355" s="9">
        <v>3244.5</v>
      </c>
      <c r="F355">
        <v>250</v>
      </c>
      <c r="G355">
        <v>12</v>
      </c>
      <c r="H355" s="9">
        <v>38934</v>
      </c>
      <c r="I355" s="9">
        <v>2725.38</v>
      </c>
      <c r="J355" s="9">
        <v>36208.620000000003</v>
      </c>
      <c r="K355" s="9">
        <v>9733.5</v>
      </c>
      <c r="L355" s="9">
        <v>26475.120000000003</v>
      </c>
      <c r="M355" s="10">
        <v>41640</v>
      </c>
      <c r="N355">
        <v>1</v>
      </c>
      <c r="O355" t="s">
        <v>21</v>
      </c>
      <c r="P355" t="s">
        <v>15</v>
      </c>
      <c r="Q355" s="15">
        <f>Table2[[#This Row],[Discounts]]/Table2[[#This Row],[Gross Sales]]</f>
        <v>7.0000000000000007E-2</v>
      </c>
    </row>
    <row r="356" spans="1:17" x14ac:dyDescent="0.35">
      <c r="A356" t="s">
        <v>7</v>
      </c>
      <c r="B356" t="s">
        <v>18</v>
      </c>
      <c r="C356" t="s">
        <v>42</v>
      </c>
      <c r="D356" t="s">
        <v>47</v>
      </c>
      <c r="E356" s="9">
        <v>959</v>
      </c>
      <c r="F356">
        <v>250</v>
      </c>
      <c r="G356">
        <v>300</v>
      </c>
      <c r="H356" s="9">
        <v>287700</v>
      </c>
      <c r="I356" s="9">
        <v>20139</v>
      </c>
      <c r="J356" s="9">
        <v>267561</v>
      </c>
      <c r="K356" s="9">
        <v>239750</v>
      </c>
      <c r="L356" s="9">
        <v>27811</v>
      </c>
      <c r="M356" s="10">
        <v>41671</v>
      </c>
      <c r="N356">
        <v>2</v>
      </c>
      <c r="O356" t="s">
        <v>22</v>
      </c>
      <c r="P356" t="s">
        <v>15</v>
      </c>
      <c r="Q356" s="15">
        <f>Table2[[#This Row],[Discounts]]/Table2[[#This Row],[Gross Sales]]</f>
        <v>7.0000000000000007E-2</v>
      </c>
    </row>
    <row r="357" spans="1:17" x14ac:dyDescent="0.35">
      <c r="A357" t="s">
        <v>7</v>
      </c>
      <c r="B357" t="s">
        <v>20</v>
      </c>
      <c r="C357" t="s">
        <v>42</v>
      </c>
      <c r="D357" t="s">
        <v>47</v>
      </c>
      <c r="E357" s="9">
        <v>2747</v>
      </c>
      <c r="F357">
        <v>250</v>
      </c>
      <c r="G357">
        <v>300</v>
      </c>
      <c r="H357" s="9">
        <v>824100</v>
      </c>
      <c r="I357" s="9">
        <v>57687</v>
      </c>
      <c r="J357" s="9">
        <v>766413</v>
      </c>
      <c r="K357" s="9">
        <v>686750</v>
      </c>
      <c r="L357" s="9">
        <v>79663</v>
      </c>
      <c r="M357" s="10">
        <v>41671</v>
      </c>
      <c r="N357">
        <v>2</v>
      </c>
      <c r="O357" t="s">
        <v>22</v>
      </c>
      <c r="P357" t="s">
        <v>15</v>
      </c>
      <c r="Q357" s="15">
        <f>Table2[[#This Row],[Discounts]]/Table2[[#This Row],[Gross Sales]]</f>
        <v>7.0000000000000007E-2</v>
      </c>
    </row>
    <row r="358" spans="1:17" x14ac:dyDescent="0.35">
      <c r="A358" t="s">
        <v>9</v>
      </c>
      <c r="B358" t="s">
        <v>16</v>
      </c>
      <c r="C358" t="s">
        <v>43</v>
      </c>
      <c r="D358" t="s">
        <v>47</v>
      </c>
      <c r="E358" s="9">
        <v>1645</v>
      </c>
      <c r="F358">
        <v>260</v>
      </c>
      <c r="G358">
        <v>125</v>
      </c>
      <c r="H358" s="9">
        <v>205625</v>
      </c>
      <c r="I358" s="9">
        <v>14393.75</v>
      </c>
      <c r="J358" s="9">
        <v>191231.25</v>
      </c>
      <c r="K358" s="9">
        <v>197400</v>
      </c>
      <c r="L358" s="9">
        <v>-6168.75</v>
      </c>
      <c r="M358" s="10">
        <v>41760</v>
      </c>
      <c r="N358">
        <v>5</v>
      </c>
      <c r="O358" t="s">
        <v>25</v>
      </c>
      <c r="P358" t="s">
        <v>15</v>
      </c>
      <c r="Q358" s="15">
        <f>Table2[[#This Row],[Discounts]]/Table2[[#This Row],[Gross Sales]]</f>
        <v>7.0000000000000007E-2</v>
      </c>
    </row>
    <row r="359" spans="1:17" x14ac:dyDescent="0.35">
      <c r="A359" t="s">
        <v>10</v>
      </c>
      <c r="B359" t="s">
        <v>18</v>
      </c>
      <c r="C359" t="s">
        <v>43</v>
      </c>
      <c r="D359" t="s">
        <v>47</v>
      </c>
      <c r="E359" s="9">
        <v>2876</v>
      </c>
      <c r="F359">
        <v>260</v>
      </c>
      <c r="G359">
        <v>350</v>
      </c>
      <c r="H359" s="9">
        <v>1006600</v>
      </c>
      <c r="I359" s="9">
        <v>70462</v>
      </c>
      <c r="J359" s="9">
        <v>936138</v>
      </c>
      <c r="K359" s="9">
        <v>747760</v>
      </c>
      <c r="L359" s="9">
        <v>188378</v>
      </c>
      <c r="M359" s="10">
        <v>41883</v>
      </c>
      <c r="N359">
        <v>9</v>
      </c>
      <c r="O359" t="s">
        <v>29</v>
      </c>
      <c r="P359" t="s">
        <v>15</v>
      </c>
      <c r="Q359" s="15">
        <f>Table2[[#This Row],[Discounts]]/Table2[[#This Row],[Gross Sales]]</f>
        <v>7.0000000000000007E-2</v>
      </c>
    </row>
    <row r="360" spans="1:17" x14ac:dyDescent="0.35">
      <c r="A360" t="s">
        <v>9</v>
      </c>
      <c r="B360" t="s">
        <v>19</v>
      </c>
      <c r="C360" t="s">
        <v>43</v>
      </c>
      <c r="D360" t="s">
        <v>47</v>
      </c>
      <c r="E360" s="9">
        <v>994</v>
      </c>
      <c r="F360">
        <v>260</v>
      </c>
      <c r="G360">
        <v>125</v>
      </c>
      <c r="H360" s="9">
        <v>124250</v>
      </c>
      <c r="I360" s="9">
        <v>8697.5</v>
      </c>
      <c r="J360" s="9">
        <v>115552.5</v>
      </c>
      <c r="K360" s="9">
        <v>119280</v>
      </c>
      <c r="L360" s="9">
        <v>-3727.5</v>
      </c>
      <c r="M360" s="10">
        <v>41518</v>
      </c>
      <c r="N360">
        <v>9</v>
      </c>
      <c r="O360" t="s">
        <v>29</v>
      </c>
      <c r="P360" t="s">
        <v>14</v>
      </c>
      <c r="Q360" s="15">
        <f>Table2[[#This Row],[Discounts]]/Table2[[#This Row],[Gross Sales]]</f>
        <v>7.0000000000000007E-2</v>
      </c>
    </row>
    <row r="361" spans="1:17" x14ac:dyDescent="0.35">
      <c r="A361" t="s">
        <v>10</v>
      </c>
      <c r="B361" t="s">
        <v>16</v>
      </c>
      <c r="C361" t="s">
        <v>43</v>
      </c>
      <c r="D361" t="s">
        <v>47</v>
      </c>
      <c r="E361" s="9">
        <v>1118</v>
      </c>
      <c r="F361">
        <v>260</v>
      </c>
      <c r="G361">
        <v>20</v>
      </c>
      <c r="H361" s="9">
        <v>22360</v>
      </c>
      <c r="I361" s="9">
        <v>1565.2</v>
      </c>
      <c r="J361" s="9">
        <v>20794.8</v>
      </c>
      <c r="K361" s="9">
        <v>11180</v>
      </c>
      <c r="L361" s="9">
        <v>9614.7999999999993</v>
      </c>
      <c r="M361" s="10">
        <v>41944</v>
      </c>
      <c r="N361">
        <v>11</v>
      </c>
      <c r="O361" t="s">
        <v>31</v>
      </c>
      <c r="P361" t="s">
        <v>15</v>
      </c>
      <c r="Q361" s="15">
        <f>Table2[[#This Row],[Discounts]]/Table2[[#This Row],[Gross Sales]]</f>
        <v>7.0000000000000007E-2</v>
      </c>
    </row>
    <row r="362" spans="1:17" x14ac:dyDescent="0.35">
      <c r="A362" t="s">
        <v>7</v>
      </c>
      <c r="B362" t="s">
        <v>92</v>
      </c>
      <c r="C362" t="s">
        <v>43</v>
      </c>
      <c r="D362" t="s">
        <v>47</v>
      </c>
      <c r="E362" s="9">
        <v>1372</v>
      </c>
      <c r="F362">
        <v>260</v>
      </c>
      <c r="G362">
        <v>300</v>
      </c>
      <c r="H362" s="9">
        <v>411600</v>
      </c>
      <c r="I362" s="9">
        <v>28812</v>
      </c>
      <c r="J362" s="9">
        <v>382788</v>
      </c>
      <c r="K362" s="9">
        <v>343000</v>
      </c>
      <c r="L362" s="9">
        <v>39788</v>
      </c>
      <c r="M362" s="10">
        <v>41974</v>
      </c>
      <c r="N362">
        <v>12</v>
      </c>
      <c r="O362" t="s">
        <v>32</v>
      </c>
      <c r="P362" t="s">
        <v>15</v>
      </c>
      <c r="Q362" s="15">
        <f>Table2[[#This Row],[Discounts]]/Table2[[#This Row],[Gross Sales]]</f>
        <v>7.0000000000000007E-2</v>
      </c>
    </row>
    <row r="363" spans="1:17" x14ac:dyDescent="0.35">
      <c r="A363" t="s">
        <v>10</v>
      </c>
      <c r="B363" t="s">
        <v>16</v>
      </c>
      <c r="C363" t="s">
        <v>39</v>
      </c>
      <c r="D363" t="s">
        <v>47</v>
      </c>
      <c r="E363" s="9">
        <v>488</v>
      </c>
      <c r="F363">
        <v>5</v>
      </c>
      <c r="G363">
        <v>7</v>
      </c>
      <c r="H363" s="9">
        <v>3416</v>
      </c>
      <c r="I363" s="9">
        <v>273.27999999999997</v>
      </c>
      <c r="J363" s="9">
        <v>3142.7200000000003</v>
      </c>
      <c r="K363" s="9">
        <v>2440</v>
      </c>
      <c r="L363" s="9">
        <v>702.72000000000025</v>
      </c>
      <c r="M363" s="10">
        <v>41671</v>
      </c>
      <c r="N363">
        <v>2</v>
      </c>
      <c r="O363" t="s">
        <v>22</v>
      </c>
      <c r="P363" t="s">
        <v>15</v>
      </c>
      <c r="Q363" s="15">
        <f>Table2[[#This Row],[Discounts]]/Table2[[#This Row],[Gross Sales]]</f>
        <v>7.9999999999999988E-2</v>
      </c>
    </row>
    <row r="364" spans="1:17" x14ac:dyDescent="0.35">
      <c r="A364" t="s">
        <v>10</v>
      </c>
      <c r="B364" t="s">
        <v>92</v>
      </c>
      <c r="C364" t="s">
        <v>39</v>
      </c>
      <c r="D364" t="s">
        <v>47</v>
      </c>
      <c r="E364" s="9">
        <v>1282</v>
      </c>
      <c r="F364">
        <v>5</v>
      </c>
      <c r="G364">
        <v>20</v>
      </c>
      <c r="H364" s="9">
        <v>25640</v>
      </c>
      <c r="I364" s="9">
        <v>2051.1999999999998</v>
      </c>
      <c r="J364" s="9">
        <v>23588.799999999999</v>
      </c>
      <c r="K364" s="9">
        <v>12820</v>
      </c>
      <c r="L364" s="9">
        <v>10768.8</v>
      </c>
      <c r="M364" s="10">
        <v>41791</v>
      </c>
      <c r="N364">
        <v>6</v>
      </c>
      <c r="O364" t="s">
        <v>26</v>
      </c>
      <c r="P364" t="s">
        <v>15</v>
      </c>
      <c r="Q364" s="15">
        <f>Table2[[#This Row],[Discounts]]/Table2[[#This Row],[Gross Sales]]</f>
        <v>7.9999999999999988E-2</v>
      </c>
    </row>
    <row r="365" spans="1:17" x14ac:dyDescent="0.35">
      <c r="A365" t="s">
        <v>10</v>
      </c>
      <c r="B365" t="s">
        <v>16</v>
      </c>
      <c r="C365" t="s">
        <v>40</v>
      </c>
      <c r="D365" t="s">
        <v>47</v>
      </c>
      <c r="E365" s="9">
        <v>257</v>
      </c>
      <c r="F365">
        <v>10</v>
      </c>
      <c r="G365">
        <v>7</v>
      </c>
      <c r="H365" s="9">
        <v>1799</v>
      </c>
      <c r="I365" s="9">
        <v>143.91999999999999</v>
      </c>
      <c r="J365" s="9">
        <v>1655.08</v>
      </c>
      <c r="K365" s="9">
        <v>1285</v>
      </c>
      <c r="L365" s="9">
        <v>370.07999999999993</v>
      </c>
      <c r="M365" s="10">
        <v>41760</v>
      </c>
      <c r="N365">
        <v>5</v>
      </c>
      <c r="O365" t="s">
        <v>25</v>
      </c>
      <c r="P365" t="s">
        <v>15</v>
      </c>
      <c r="Q365" s="15">
        <f>Table2[[#This Row],[Discounts]]/Table2[[#This Row],[Gross Sales]]</f>
        <v>7.9999999999999988E-2</v>
      </c>
    </row>
    <row r="366" spans="1:17" x14ac:dyDescent="0.35">
      <c r="A366" t="s">
        <v>10</v>
      </c>
      <c r="B366" t="s">
        <v>92</v>
      </c>
      <c r="C366" t="s">
        <v>43</v>
      </c>
      <c r="D366" t="s">
        <v>47</v>
      </c>
      <c r="E366" s="9">
        <v>1282</v>
      </c>
      <c r="F366">
        <v>260</v>
      </c>
      <c r="G366">
        <v>20</v>
      </c>
      <c r="H366" s="9">
        <v>25640</v>
      </c>
      <c r="I366" s="9">
        <v>2051.1999999999998</v>
      </c>
      <c r="J366" s="9">
        <v>23588.799999999999</v>
      </c>
      <c r="K366" s="9">
        <v>12820</v>
      </c>
      <c r="L366" s="9">
        <v>10768.8</v>
      </c>
      <c r="M366" s="10">
        <v>41791</v>
      </c>
      <c r="N366">
        <v>6</v>
      </c>
      <c r="O366" t="s">
        <v>26</v>
      </c>
      <c r="P366" t="s">
        <v>15</v>
      </c>
      <c r="Q366" s="15">
        <f>Table2[[#This Row],[Discounts]]/Table2[[#This Row],[Gross Sales]]</f>
        <v>7.9999999999999988E-2</v>
      </c>
    </row>
    <row r="367" spans="1:17" x14ac:dyDescent="0.35">
      <c r="A367" t="s">
        <v>9</v>
      </c>
      <c r="B367" t="s">
        <v>20</v>
      </c>
      <c r="C367" t="s">
        <v>38</v>
      </c>
      <c r="D367" t="s">
        <v>47</v>
      </c>
      <c r="E367" s="9">
        <v>1540</v>
      </c>
      <c r="F367">
        <v>3</v>
      </c>
      <c r="G367">
        <v>125</v>
      </c>
      <c r="H367" s="9">
        <v>192500</v>
      </c>
      <c r="I367" s="9">
        <v>15400</v>
      </c>
      <c r="J367" s="9">
        <v>177100</v>
      </c>
      <c r="K367" s="9">
        <v>184800</v>
      </c>
      <c r="L367" s="9">
        <v>-7700</v>
      </c>
      <c r="M367" s="10">
        <v>41852</v>
      </c>
      <c r="N367">
        <v>8</v>
      </c>
      <c r="O367" t="s">
        <v>28</v>
      </c>
      <c r="P367" t="s">
        <v>15</v>
      </c>
      <c r="Q367" s="15">
        <f>Table2[[#This Row],[Discounts]]/Table2[[#This Row],[Gross Sales]]</f>
        <v>0.08</v>
      </c>
    </row>
    <row r="368" spans="1:17" x14ac:dyDescent="0.35">
      <c r="A368" t="s">
        <v>8</v>
      </c>
      <c r="B368" t="s">
        <v>18</v>
      </c>
      <c r="C368" t="s">
        <v>38</v>
      </c>
      <c r="D368" t="s">
        <v>47</v>
      </c>
      <c r="E368" s="9">
        <v>490</v>
      </c>
      <c r="F368">
        <v>3</v>
      </c>
      <c r="G368">
        <v>15</v>
      </c>
      <c r="H368" s="9">
        <v>7350</v>
      </c>
      <c r="I368" s="9">
        <v>588</v>
      </c>
      <c r="J368" s="9">
        <v>6762</v>
      </c>
      <c r="K368" s="9">
        <v>4900</v>
      </c>
      <c r="L368" s="9">
        <v>1862</v>
      </c>
      <c r="M368" s="10">
        <v>41944</v>
      </c>
      <c r="N368">
        <v>11</v>
      </c>
      <c r="O368" t="s">
        <v>31</v>
      </c>
      <c r="P368" t="s">
        <v>15</v>
      </c>
      <c r="Q368" s="15">
        <f>Table2[[#This Row],[Discounts]]/Table2[[#This Row],[Gross Sales]]</f>
        <v>0.08</v>
      </c>
    </row>
    <row r="369" spans="1:17" x14ac:dyDescent="0.35">
      <c r="A369" t="s">
        <v>10</v>
      </c>
      <c r="B369" t="s">
        <v>20</v>
      </c>
      <c r="C369" t="s">
        <v>38</v>
      </c>
      <c r="D369" t="s">
        <v>47</v>
      </c>
      <c r="E369" s="9">
        <v>1362</v>
      </c>
      <c r="F369">
        <v>3</v>
      </c>
      <c r="G369">
        <v>350</v>
      </c>
      <c r="H369" s="9">
        <v>476700</v>
      </c>
      <c r="I369" s="9">
        <v>38136</v>
      </c>
      <c r="J369" s="9">
        <v>438564</v>
      </c>
      <c r="K369" s="9">
        <v>354120</v>
      </c>
      <c r="L369" s="9">
        <v>84444</v>
      </c>
      <c r="M369" s="10">
        <v>41974</v>
      </c>
      <c r="N369">
        <v>12</v>
      </c>
      <c r="O369" t="s">
        <v>32</v>
      </c>
      <c r="P369" t="s">
        <v>15</v>
      </c>
      <c r="Q369" s="15">
        <f>Table2[[#This Row],[Discounts]]/Table2[[#This Row],[Gross Sales]]</f>
        <v>0.08</v>
      </c>
    </row>
    <row r="370" spans="1:17" x14ac:dyDescent="0.35">
      <c r="A370" t="s">
        <v>8</v>
      </c>
      <c r="B370" t="s">
        <v>18</v>
      </c>
      <c r="C370" t="s">
        <v>39</v>
      </c>
      <c r="D370" t="s">
        <v>47</v>
      </c>
      <c r="E370" s="9">
        <v>2501</v>
      </c>
      <c r="F370">
        <v>5</v>
      </c>
      <c r="G370">
        <v>15</v>
      </c>
      <c r="H370" s="9">
        <v>37515</v>
      </c>
      <c r="I370" s="9">
        <v>3001.2</v>
      </c>
      <c r="J370" s="9">
        <v>34513.800000000003</v>
      </c>
      <c r="K370" s="9">
        <v>25010</v>
      </c>
      <c r="L370" s="9">
        <v>9503.8000000000029</v>
      </c>
      <c r="M370" s="10">
        <v>41699</v>
      </c>
      <c r="N370">
        <v>3</v>
      </c>
      <c r="O370" t="s">
        <v>23</v>
      </c>
      <c r="P370" t="s">
        <v>15</v>
      </c>
      <c r="Q370" s="15">
        <f>Table2[[#This Row],[Discounts]]/Table2[[#This Row],[Gross Sales]]</f>
        <v>0.08</v>
      </c>
    </row>
    <row r="371" spans="1:17" x14ac:dyDescent="0.35">
      <c r="A371" t="s">
        <v>10</v>
      </c>
      <c r="B371" t="s">
        <v>16</v>
      </c>
      <c r="C371" t="s">
        <v>39</v>
      </c>
      <c r="D371" t="s">
        <v>47</v>
      </c>
      <c r="E371" s="9">
        <v>708</v>
      </c>
      <c r="F371">
        <v>5</v>
      </c>
      <c r="G371">
        <v>20</v>
      </c>
      <c r="H371" s="9">
        <v>14160</v>
      </c>
      <c r="I371" s="9">
        <v>1132.8</v>
      </c>
      <c r="J371" s="9">
        <v>13027.2</v>
      </c>
      <c r="K371" s="9">
        <v>7080</v>
      </c>
      <c r="L371" s="9">
        <v>5947.2000000000007</v>
      </c>
      <c r="M371" s="10">
        <v>41791</v>
      </c>
      <c r="N371">
        <v>6</v>
      </c>
      <c r="O371" t="s">
        <v>26</v>
      </c>
      <c r="P371" t="s">
        <v>15</v>
      </c>
      <c r="Q371" s="15">
        <f>Table2[[#This Row],[Discounts]]/Table2[[#This Row],[Gross Sales]]</f>
        <v>0.08</v>
      </c>
    </row>
    <row r="372" spans="1:17" x14ac:dyDescent="0.35">
      <c r="A372" t="s">
        <v>10</v>
      </c>
      <c r="B372" t="s">
        <v>19</v>
      </c>
      <c r="C372" t="s">
        <v>39</v>
      </c>
      <c r="D372" t="s">
        <v>47</v>
      </c>
      <c r="E372" s="9">
        <v>645</v>
      </c>
      <c r="F372">
        <v>5</v>
      </c>
      <c r="G372">
        <v>20</v>
      </c>
      <c r="H372" s="9">
        <v>12900</v>
      </c>
      <c r="I372" s="9">
        <v>1032</v>
      </c>
      <c r="J372" s="9">
        <v>11868</v>
      </c>
      <c r="K372" s="9">
        <v>6450</v>
      </c>
      <c r="L372" s="9">
        <v>5418</v>
      </c>
      <c r="M372" s="10">
        <v>41821</v>
      </c>
      <c r="N372">
        <v>7</v>
      </c>
      <c r="O372" t="s">
        <v>27</v>
      </c>
      <c r="P372" t="s">
        <v>15</v>
      </c>
      <c r="Q372" s="15">
        <f>Table2[[#This Row],[Discounts]]/Table2[[#This Row],[Gross Sales]]</f>
        <v>0.08</v>
      </c>
    </row>
    <row r="373" spans="1:17" x14ac:dyDescent="0.35">
      <c r="A373" t="s">
        <v>7</v>
      </c>
      <c r="B373" t="s">
        <v>18</v>
      </c>
      <c r="C373" t="s">
        <v>39</v>
      </c>
      <c r="D373" t="s">
        <v>47</v>
      </c>
      <c r="E373" s="9">
        <v>1562</v>
      </c>
      <c r="F373">
        <v>5</v>
      </c>
      <c r="G373">
        <v>300</v>
      </c>
      <c r="H373" s="9">
        <v>468600</v>
      </c>
      <c r="I373" s="9">
        <v>37488</v>
      </c>
      <c r="J373" s="9">
        <v>431112</v>
      </c>
      <c r="K373" s="9">
        <v>390500</v>
      </c>
      <c r="L373" s="9">
        <v>40612</v>
      </c>
      <c r="M373" s="10">
        <v>41852</v>
      </c>
      <c r="N373">
        <v>8</v>
      </c>
      <c r="O373" t="s">
        <v>28</v>
      </c>
      <c r="P373" t="s">
        <v>15</v>
      </c>
      <c r="Q373" s="15">
        <f>Table2[[#This Row],[Discounts]]/Table2[[#This Row],[Gross Sales]]</f>
        <v>0.08</v>
      </c>
    </row>
    <row r="374" spans="1:17" x14ac:dyDescent="0.35">
      <c r="A374" t="s">
        <v>7</v>
      </c>
      <c r="B374" t="s">
        <v>16</v>
      </c>
      <c r="C374" t="s">
        <v>39</v>
      </c>
      <c r="D374" t="s">
        <v>47</v>
      </c>
      <c r="E374" s="9">
        <v>1283</v>
      </c>
      <c r="F374">
        <v>5</v>
      </c>
      <c r="G374">
        <v>300</v>
      </c>
      <c r="H374" s="9">
        <v>384900</v>
      </c>
      <c r="I374" s="9">
        <v>30792</v>
      </c>
      <c r="J374" s="9">
        <v>354108</v>
      </c>
      <c r="K374" s="9">
        <v>320750</v>
      </c>
      <c r="L374" s="9">
        <v>33358</v>
      </c>
      <c r="M374" s="10">
        <v>41518</v>
      </c>
      <c r="N374">
        <v>9</v>
      </c>
      <c r="O374" t="s">
        <v>29</v>
      </c>
      <c r="P374" t="s">
        <v>14</v>
      </c>
      <c r="Q374" s="15">
        <f>Table2[[#This Row],[Discounts]]/Table2[[#This Row],[Gross Sales]]</f>
        <v>0.08</v>
      </c>
    </row>
    <row r="375" spans="1:17" x14ac:dyDescent="0.35">
      <c r="A375" t="s">
        <v>8</v>
      </c>
      <c r="B375" t="s">
        <v>19</v>
      </c>
      <c r="C375" t="s">
        <v>39</v>
      </c>
      <c r="D375" t="s">
        <v>47</v>
      </c>
      <c r="E375" s="9">
        <v>711</v>
      </c>
      <c r="F375">
        <v>5</v>
      </c>
      <c r="G375">
        <v>15</v>
      </c>
      <c r="H375" s="9">
        <v>10665</v>
      </c>
      <c r="I375" s="9">
        <v>853.2</v>
      </c>
      <c r="J375" s="9">
        <v>9811.7999999999993</v>
      </c>
      <c r="K375" s="9">
        <v>7110</v>
      </c>
      <c r="L375" s="9">
        <v>2701.7999999999993</v>
      </c>
      <c r="M375" s="10">
        <v>41974</v>
      </c>
      <c r="N375">
        <v>12</v>
      </c>
      <c r="O375" t="s">
        <v>32</v>
      </c>
      <c r="P375" t="s">
        <v>15</v>
      </c>
      <c r="Q375" s="15">
        <f>Table2[[#This Row],[Discounts]]/Table2[[#This Row],[Gross Sales]]</f>
        <v>0.08</v>
      </c>
    </row>
    <row r="376" spans="1:17" x14ac:dyDescent="0.35">
      <c r="A376" t="s">
        <v>9</v>
      </c>
      <c r="B376" t="s">
        <v>20</v>
      </c>
      <c r="C376" t="s">
        <v>40</v>
      </c>
      <c r="D376" t="s">
        <v>47</v>
      </c>
      <c r="E376" s="9">
        <v>1114</v>
      </c>
      <c r="F376">
        <v>10</v>
      </c>
      <c r="G376">
        <v>125</v>
      </c>
      <c r="H376" s="9">
        <v>139250</v>
      </c>
      <c r="I376" s="9">
        <v>11140</v>
      </c>
      <c r="J376" s="9">
        <v>128110</v>
      </c>
      <c r="K376" s="9">
        <v>133680</v>
      </c>
      <c r="L376" s="9">
        <v>-5570</v>
      </c>
      <c r="M376" s="10">
        <v>41699</v>
      </c>
      <c r="N376">
        <v>3</v>
      </c>
      <c r="O376" t="s">
        <v>23</v>
      </c>
      <c r="P376" t="s">
        <v>15</v>
      </c>
      <c r="Q376" s="15">
        <f>Table2[[#This Row],[Discounts]]/Table2[[#This Row],[Gross Sales]]</f>
        <v>0.08</v>
      </c>
    </row>
    <row r="377" spans="1:17" x14ac:dyDescent="0.35">
      <c r="A377" t="s">
        <v>10</v>
      </c>
      <c r="B377" t="s">
        <v>19</v>
      </c>
      <c r="C377" t="s">
        <v>40</v>
      </c>
      <c r="D377" t="s">
        <v>47</v>
      </c>
      <c r="E377" s="9">
        <v>1259</v>
      </c>
      <c r="F377">
        <v>10</v>
      </c>
      <c r="G377">
        <v>7</v>
      </c>
      <c r="H377" s="9">
        <v>8813</v>
      </c>
      <c r="I377" s="9">
        <v>705.04</v>
      </c>
      <c r="J377" s="9">
        <v>8107.96</v>
      </c>
      <c r="K377" s="9">
        <v>6295</v>
      </c>
      <c r="L377" s="9">
        <v>1812.96</v>
      </c>
      <c r="M377" s="10">
        <v>41730</v>
      </c>
      <c r="N377">
        <v>4</v>
      </c>
      <c r="O377" t="s">
        <v>24</v>
      </c>
      <c r="P377" t="s">
        <v>15</v>
      </c>
      <c r="Q377" s="15">
        <f>Table2[[#This Row],[Discounts]]/Table2[[#This Row],[Gross Sales]]</f>
        <v>0.08</v>
      </c>
    </row>
    <row r="378" spans="1:17" x14ac:dyDescent="0.35">
      <c r="A378" t="s">
        <v>10</v>
      </c>
      <c r="B378" t="s">
        <v>19</v>
      </c>
      <c r="C378" t="s">
        <v>40</v>
      </c>
      <c r="D378" t="s">
        <v>47</v>
      </c>
      <c r="E378" s="9">
        <v>1095</v>
      </c>
      <c r="F378">
        <v>10</v>
      </c>
      <c r="G378">
        <v>7</v>
      </c>
      <c r="H378" s="9">
        <v>7665</v>
      </c>
      <c r="I378" s="9">
        <v>613.20000000000005</v>
      </c>
      <c r="J378" s="9">
        <v>7051.8</v>
      </c>
      <c r="K378" s="9">
        <v>5475</v>
      </c>
      <c r="L378" s="9">
        <v>1576.8000000000002</v>
      </c>
      <c r="M378" s="10">
        <v>41760</v>
      </c>
      <c r="N378">
        <v>5</v>
      </c>
      <c r="O378" t="s">
        <v>25</v>
      </c>
      <c r="P378" t="s">
        <v>15</v>
      </c>
      <c r="Q378" s="15">
        <f>Table2[[#This Row],[Discounts]]/Table2[[#This Row],[Gross Sales]]</f>
        <v>0.08</v>
      </c>
    </row>
    <row r="379" spans="1:17" x14ac:dyDescent="0.35">
      <c r="A379" t="s">
        <v>10</v>
      </c>
      <c r="B379" t="s">
        <v>19</v>
      </c>
      <c r="C379" t="s">
        <v>40</v>
      </c>
      <c r="D379" t="s">
        <v>47</v>
      </c>
      <c r="E379" s="9">
        <v>1366</v>
      </c>
      <c r="F379">
        <v>10</v>
      </c>
      <c r="G379">
        <v>20</v>
      </c>
      <c r="H379" s="9">
        <v>27320</v>
      </c>
      <c r="I379" s="9">
        <v>2185.6</v>
      </c>
      <c r="J379" s="9">
        <v>25134.400000000001</v>
      </c>
      <c r="K379" s="9">
        <v>13660</v>
      </c>
      <c r="L379" s="9">
        <v>11474.400000000001</v>
      </c>
      <c r="M379" s="10">
        <v>41791</v>
      </c>
      <c r="N379">
        <v>6</v>
      </c>
      <c r="O379" t="s">
        <v>26</v>
      </c>
      <c r="P379" t="s">
        <v>15</v>
      </c>
      <c r="Q379" s="15">
        <f>Table2[[#This Row],[Discounts]]/Table2[[#This Row],[Gross Sales]]</f>
        <v>0.08</v>
      </c>
    </row>
    <row r="380" spans="1:17" x14ac:dyDescent="0.35">
      <c r="A380" t="s">
        <v>7</v>
      </c>
      <c r="B380" t="s">
        <v>20</v>
      </c>
      <c r="C380" t="s">
        <v>40</v>
      </c>
      <c r="D380" t="s">
        <v>47</v>
      </c>
      <c r="E380" s="9">
        <v>2460</v>
      </c>
      <c r="F380">
        <v>10</v>
      </c>
      <c r="G380">
        <v>300</v>
      </c>
      <c r="H380" s="9">
        <v>738000</v>
      </c>
      <c r="I380" s="9">
        <v>59040</v>
      </c>
      <c r="J380" s="9">
        <v>678960</v>
      </c>
      <c r="K380" s="9">
        <v>615000</v>
      </c>
      <c r="L380" s="9">
        <v>63960</v>
      </c>
      <c r="M380" s="10">
        <v>41791</v>
      </c>
      <c r="N380">
        <v>6</v>
      </c>
      <c r="O380" t="s">
        <v>26</v>
      </c>
      <c r="P380" t="s">
        <v>15</v>
      </c>
      <c r="Q380" s="15">
        <f>Table2[[#This Row],[Discounts]]/Table2[[#This Row],[Gross Sales]]</f>
        <v>0.08</v>
      </c>
    </row>
    <row r="381" spans="1:17" x14ac:dyDescent="0.35">
      <c r="A381" t="s">
        <v>10</v>
      </c>
      <c r="B381" t="s">
        <v>92</v>
      </c>
      <c r="C381" t="s">
        <v>40</v>
      </c>
      <c r="D381" t="s">
        <v>47</v>
      </c>
      <c r="E381" s="9">
        <v>678</v>
      </c>
      <c r="F381">
        <v>10</v>
      </c>
      <c r="G381">
        <v>7</v>
      </c>
      <c r="H381" s="9">
        <v>4746</v>
      </c>
      <c r="I381" s="9">
        <v>379.68</v>
      </c>
      <c r="J381" s="9">
        <v>4366.32</v>
      </c>
      <c r="K381" s="9">
        <v>3390</v>
      </c>
      <c r="L381" s="9">
        <v>976.31999999999971</v>
      </c>
      <c r="M381" s="10">
        <v>41852</v>
      </c>
      <c r="N381">
        <v>8</v>
      </c>
      <c r="O381" t="s">
        <v>28</v>
      </c>
      <c r="P381" t="s">
        <v>15</v>
      </c>
      <c r="Q381" s="15">
        <f>Table2[[#This Row],[Discounts]]/Table2[[#This Row],[Gross Sales]]</f>
        <v>0.08</v>
      </c>
    </row>
    <row r="382" spans="1:17" x14ac:dyDescent="0.35">
      <c r="A382" t="s">
        <v>10</v>
      </c>
      <c r="B382" t="s">
        <v>19</v>
      </c>
      <c r="C382" t="s">
        <v>40</v>
      </c>
      <c r="D382" t="s">
        <v>47</v>
      </c>
      <c r="E382" s="9">
        <v>1598</v>
      </c>
      <c r="F382">
        <v>10</v>
      </c>
      <c r="G382">
        <v>7</v>
      </c>
      <c r="H382" s="9">
        <v>11186</v>
      </c>
      <c r="I382" s="9">
        <v>894.88</v>
      </c>
      <c r="J382" s="9">
        <v>10291.120000000001</v>
      </c>
      <c r="K382" s="9">
        <v>7990</v>
      </c>
      <c r="L382" s="9">
        <v>2301.1200000000008</v>
      </c>
      <c r="M382" s="10">
        <v>41852</v>
      </c>
      <c r="N382">
        <v>8</v>
      </c>
      <c r="O382" t="s">
        <v>28</v>
      </c>
      <c r="P382" t="s">
        <v>15</v>
      </c>
      <c r="Q382" s="15">
        <f>Table2[[#This Row],[Discounts]]/Table2[[#This Row],[Gross Sales]]</f>
        <v>0.08</v>
      </c>
    </row>
    <row r="383" spans="1:17" x14ac:dyDescent="0.35">
      <c r="A383" t="s">
        <v>10</v>
      </c>
      <c r="B383" t="s">
        <v>19</v>
      </c>
      <c r="C383" t="s">
        <v>40</v>
      </c>
      <c r="D383" t="s">
        <v>47</v>
      </c>
      <c r="E383" s="9">
        <v>2409</v>
      </c>
      <c r="F383">
        <v>10</v>
      </c>
      <c r="G383">
        <v>7</v>
      </c>
      <c r="H383" s="9">
        <v>16863</v>
      </c>
      <c r="I383" s="9">
        <v>1349.04</v>
      </c>
      <c r="J383" s="9">
        <v>15513.96</v>
      </c>
      <c r="K383" s="9">
        <v>12045</v>
      </c>
      <c r="L383" s="9">
        <v>3468.9599999999991</v>
      </c>
      <c r="M383" s="10">
        <v>41518</v>
      </c>
      <c r="N383">
        <v>9</v>
      </c>
      <c r="O383" t="s">
        <v>29</v>
      </c>
      <c r="P383" t="s">
        <v>14</v>
      </c>
      <c r="Q383" s="15">
        <f>Table2[[#This Row],[Discounts]]/Table2[[#This Row],[Gross Sales]]</f>
        <v>0.08</v>
      </c>
    </row>
    <row r="384" spans="1:17" x14ac:dyDescent="0.35">
      <c r="A384" t="s">
        <v>10</v>
      </c>
      <c r="B384" t="s">
        <v>19</v>
      </c>
      <c r="C384" t="s">
        <v>40</v>
      </c>
      <c r="D384" t="s">
        <v>47</v>
      </c>
      <c r="E384" s="9">
        <v>1934</v>
      </c>
      <c r="F384">
        <v>10</v>
      </c>
      <c r="G384">
        <v>20</v>
      </c>
      <c r="H384" s="9">
        <v>38680</v>
      </c>
      <c r="I384" s="9">
        <v>3094.4</v>
      </c>
      <c r="J384" s="9">
        <v>35585.599999999999</v>
      </c>
      <c r="K384" s="9">
        <v>19340</v>
      </c>
      <c r="L384" s="9">
        <v>16245.599999999999</v>
      </c>
      <c r="M384" s="10">
        <v>41883</v>
      </c>
      <c r="N384">
        <v>9</v>
      </c>
      <c r="O384" t="s">
        <v>29</v>
      </c>
      <c r="P384" t="s">
        <v>15</v>
      </c>
      <c r="Q384" s="15">
        <f>Table2[[#This Row],[Discounts]]/Table2[[#This Row],[Gross Sales]]</f>
        <v>0.08</v>
      </c>
    </row>
    <row r="385" spans="1:17" x14ac:dyDescent="0.35">
      <c r="A385" t="s">
        <v>10</v>
      </c>
      <c r="B385" t="s">
        <v>20</v>
      </c>
      <c r="C385" t="s">
        <v>40</v>
      </c>
      <c r="D385" t="s">
        <v>47</v>
      </c>
      <c r="E385" s="9">
        <v>2993</v>
      </c>
      <c r="F385">
        <v>10</v>
      </c>
      <c r="G385">
        <v>20</v>
      </c>
      <c r="H385" s="9">
        <v>59860</v>
      </c>
      <c r="I385" s="9">
        <v>4788.8</v>
      </c>
      <c r="J385" s="9">
        <v>55071.199999999997</v>
      </c>
      <c r="K385" s="9">
        <v>29930</v>
      </c>
      <c r="L385" s="9">
        <v>25141.199999999997</v>
      </c>
      <c r="M385" s="10">
        <v>41883</v>
      </c>
      <c r="N385">
        <v>9</v>
      </c>
      <c r="O385" t="s">
        <v>29</v>
      </c>
      <c r="P385" t="s">
        <v>15</v>
      </c>
      <c r="Q385" s="15">
        <f>Table2[[#This Row],[Discounts]]/Table2[[#This Row],[Gross Sales]]</f>
        <v>0.08</v>
      </c>
    </row>
    <row r="386" spans="1:17" x14ac:dyDescent="0.35">
      <c r="A386" t="s">
        <v>10</v>
      </c>
      <c r="B386" t="s">
        <v>19</v>
      </c>
      <c r="C386" t="s">
        <v>40</v>
      </c>
      <c r="D386" t="s">
        <v>47</v>
      </c>
      <c r="E386" s="9">
        <v>2146</v>
      </c>
      <c r="F386">
        <v>10</v>
      </c>
      <c r="G386">
        <v>350</v>
      </c>
      <c r="H386" s="9">
        <v>751100</v>
      </c>
      <c r="I386" s="9">
        <v>60088</v>
      </c>
      <c r="J386" s="9">
        <v>691012</v>
      </c>
      <c r="K386" s="9">
        <v>557960</v>
      </c>
      <c r="L386" s="9">
        <v>133052</v>
      </c>
      <c r="M386" s="10">
        <v>41579</v>
      </c>
      <c r="N386">
        <v>11</v>
      </c>
      <c r="O386" t="s">
        <v>31</v>
      </c>
      <c r="P386" t="s">
        <v>14</v>
      </c>
      <c r="Q386" s="15">
        <f>Table2[[#This Row],[Discounts]]/Table2[[#This Row],[Gross Sales]]</f>
        <v>0.08</v>
      </c>
    </row>
    <row r="387" spans="1:17" x14ac:dyDescent="0.35">
      <c r="A387" t="s">
        <v>10</v>
      </c>
      <c r="B387" t="s">
        <v>20</v>
      </c>
      <c r="C387" t="s">
        <v>40</v>
      </c>
      <c r="D387" t="s">
        <v>47</v>
      </c>
      <c r="E387" s="9">
        <v>1946</v>
      </c>
      <c r="F387">
        <v>10</v>
      </c>
      <c r="G387">
        <v>7</v>
      </c>
      <c r="H387" s="9">
        <v>13622</v>
      </c>
      <c r="I387" s="9">
        <v>1089.76</v>
      </c>
      <c r="J387" s="9">
        <v>12532.24</v>
      </c>
      <c r="K387" s="9">
        <v>9730</v>
      </c>
      <c r="L387" s="9">
        <v>2802.24</v>
      </c>
      <c r="M387" s="10">
        <v>41609</v>
      </c>
      <c r="N387">
        <v>12</v>
      </c>
      <c r="O387" t="s">
        <v>32</v>
      </c>
      <c r="P387" t="s">
        <v>14</v>
      </c>
      <c r="Q387" s="15">
        <f>Table2[[#This Row],[Discounts]]/Table2[[#This Row],[Gross Sales]]</f>
        <v>0.08</v>
      </c>
    </row>
    <row r="388" spans="1:17" x14ac:dyDescent="0.35">
      <c r="A388" t="s">
        <v>10</v>
      </c>
      <c r="B388" t="s">
        <v>20</v>
      </c>
      <c r="C388" t="s">
        <v>40</v>
      </c>
      <c r="D388" t="s">
        <v>47</v>
      </c>
      <c r="E388" s="9">
        <v>1362</v>
      </c>
      <c r="F388">
        <v>10</v>
      </c>
      <c r="G388">
        <v>350</v>
      </c>
      <c r="H388" s="9">
        <v>476700</v>
      </c>
      <c r="I388" s="9">
        <v>38136</v>
      </c>
      <c r="J388" s="9">
        <v>438564</v>
      </c>
      <c r="K388" s="9">
        <v>354120</v>
      </c>
      <c r="L388" s="9">
        <v>84444</v>
      </c>
      <c r="M388" s="10">
        <v>41974</v>
      </c>
      <c r="N388">
        <v>12</v>
      </c>
      <c r="O388" t="s">
        <v>32</v>
      </c>
      <c r="P388" t="s">
        <v>15</v>
      </c>
      <c r="Q388" s="15">
        <f>Table2[[#This Row],[Discounts]]/Table2[[#This Row],[Gross Sales]]</f>
        <v>0.08</v>
      </c>
    </row>
    <row r="389" spans="1:17" x14ac:dyDescent="0.35">
      <c r="A389" t="s">
        <v>11</v>
      </c>
      <c r="B389" t="s">
        <v>16</v>
      </c>
      <c r="C389" t="s">
        <v>41</v>
      </c>
      <c r="D389" t="s">
        <v>47</v>
      </c>
      <c r="E389" s="9">
        <v>598</v>
      </c>
      <c r="F389">
        <v>120</v>
      </c>
      <c r="G389">
        <v>12</v>
      </c>
      <c r="H389" s="9">
        <v>7176</v>
      </c>
      <c r="I389" s="9">
        <v>574.08000000000004</v>
      </c>
      <c r="J389" s="9">
        <v>6601.92</v>
      </c>
      <c r="K389" s="9">
        <v>1794</v>
      </c>
      <c r="L389" s="9">
        <v>4807.92</v>
      </c>
      <c r="M389" s="10">
        <v>41699</v>
      </c>
      <c r="N389">
        <v>3</v>
      </c>
      <c r="O389" t="s">
        <v>23</v>
      </c>
      <c r="P389" t="s">
        <v>15</v>
      </c>
      <c r="Q389" s="15">
        <f>Table2[[#This Row],[Discounts]]/Table2[[#This Row],[Gross Sales]]</f>
        <v>0.08</v>
      </c>
    </row>
    <row r="390" spans="1:17" x14ac:dyDescent="0.35">
      <c r="A390" t="s">
        <v>10</v>
      </c>
      <c r="B390" t="s">
        <v>92</v>
      </c>
      <c r="C390" t="s">
        <v>41</v>
      </c>
      <c r="D390" t="s">
        <v>47</v>
      </c>
      <c r="E390" s="9">
        <v>2907</v>
      </c>
      <c r="F390">
        <v>120</v>
      </c>
      <c r="G390">
        <v>7</v>
      </c>
      <c r="H390" s="9">
        <v>20349</v>
      </c>
      <c r="I390" s="9">
        <v>1627.92</v>
      </c>
      <c r="J390" s="9">
        <v>18721.080000000002</v>
      </c>
      <c r="K390" s="9">
        <v>14535</v>
      </c>
      <c r="L390" s="9">
        <v>4186.0800000000017</v>
      </c>
      <c r="M390" s="10">
        <v>41791</v>
      </c>
      <c r="N390">
        <v>6</v>
      </c>
      <c r="O390" t="s">
        <v>26</v>
      </c>
      <c r="P390" t="s">
        <v>15</v>
      </c>
      <c r="Q390" s="15">
        <f>Table2[[#This Row],[Discounts]]/Table2[[#This Row],[Gross Sales]]</f>
        <v>0.08</v>
      </c>
    </row>
    <row r="391" spans="1:17" x14ac:dyDescent="0.35">
      <c r="A391" t="s">
        <v>10</v>
      </c>
      <c r="B391" t="s">
        <v>19</v>
      </c>
      <c r="C391" t="s">
        <v>41</v>
      </c>
      <c r="D391" t="s">
        <v>47</v>
      </c>
      <c r="E391" s="9">
        <v>2338</v>
      </c>
      <c r="F391">
        <v>120</v>
      </c>
      <c r="G391">
        <v>7</v>
      </c>
      <c r="H391" s="9">
        <v>16366</v>
      </c>
      <c r="I391" s="9">
        <v>1309.28</v>
      </c>
      <c r="J391" s="9">
        <v>15056.72</v>
      </c>
      <c r="K391" s="9">
        <v>11690</v>
      </c>
      <c r="L391" s="9">
        <v>3366.7199999999993</v>
      </c>
      <c r="M391" s="10">
        <v>41791</v>
      </c>
      <c r="N391">
        <v>6</v>
      </c>
      <c r="O391" t="s">
        <v>26</v>
      </c>
      <c r="P391" t="s">
        <v>15</v>
      </c>
      <c r="Q391" s="15">
        <f>Table2[[#This Row],[Discounts]]/Table2[[#This Row],[Gross Sales]]</f>
        <v>0.08</v>
      </c>
    </row>
    <row r="392" spans="1:17" x14ac:dyDescent="0.35">
      <c r="A392" t="s">
        <v>7</v>
      </c>
      <c r="B392" t="s">
        <v>18</v>
      </c>
      <c r="C392" t="s">
        <v>41</v>
      </c>
      <c r="D392" t="s">
        <v>47</v>
      </c>
      <c r="E392" s="9">
        <v>386</v>
      </c>
      <c r="F392">
        <v>120</v>
      </c>
      <c r="G392">
        <v>300</v>
      </c>
      <c r="H392" s="9">
        <v>115800</v>
      </c>
      <c r="I392" s="9">
        <v>9264</v>
      </c>
      <c r="J392" s="9">
        <v>106536</v>
      </c>
      <c r="K392" s="9">
        <v>96500</v>
      </c>
      <c r="L392" s="9">
        <v>10036</v>
      </c>
      <c r="M392" s="10">
        <v>41579</v>
      </c>
      <c r="N392">
        <v>11</v>
      </c>
      <c r="O392" t="s">
        <v>31</v>
      </c>
      <c r="P392" t="s">
        <v>14</v>
      </c>
      <c r="Q392" s="15">
        <f>Table2[[#This Row],[Discounts]]/Table2[[#This Row],[Gross Sales]]</f>
        <v>0.08</v>
      </c>
    </row>
    <row r="393" spans="1:17" x14ac:dyDescent="0.35">
      <c r="A393" t="s">
        <v>7</v>
      </c>
      <c r="B393" t="s">
        <v>20</v>
      </c>
      <c r="C393" t="s">
        <v>41</v>
      </c>
      <c r="D393" t="s">
        <v>47</v>
      </c>
      <c r="E393" s="9">
        <v>635</v>
      </c>
      <c r="F393">
        <v>120</v>
      </c>
      <c r="G393">
        <v>300</v>
      </c>
      <c r="H393" s="9">
        <v>190500</v>
      </c>
      <c r="I393" s="9">
        <v>15240</v>
      </c>
      <c r="J393" s="9">
        <v>175260</v>
      </c>
      <c r="K393" s="9">
        <v>158750</v>
      </c>
      <c r="L393" s="9">
        <v>16510</v>
      </c>
      <c r="M393" s="10">
        <v>41974</v>
      </c>
      <c r="N393">
        <v>12</v>
      </c>
      <c r="O393" t="s">
        <v>32</v>
      </c>
      <c r="P393" t="s">
        <v>15</v>
      </c>
      <c r="Q393" s="15">
        <f>Table2[[#This Row],[Discounts]]/Table2[[#This Row],[Gross Sales]]</f>
        <v>0.08</v>
      </c>
    </row>
    <row r="394" spans="1:17" x14ac:dyDescent="0.35">
      <c r="A394" t="s">
        <v>10</v>
      </c>
      <c r="B394" t="s">
        <v>18</v>
      </c>
      <c r="C394" t="s">
        <v>42</v>
      </c>
      <c r="D394" t="s">
        <v>47</v>
      </c>
      <c r="E394" s="9">
        <v>574.5</v>
      </c>
      <c r="F394">
        <v>250</v>
      </c>
      <c r="G394">
        <v>350</v>
      </c>
      <c r="H394" s="9">
        <v>201075</v>
      </c>
      <c r="I394" s="9">
        <v>16086</v>
      </c>
      <c r="J394" s="9">
        <v>184989</v>
      </c>
      <c r="K394" s="9">
        <v>149370</v>
      </c>
      <c r="L394" s="9">
        <v>35619</v>
      </c>
      <c r="M394" s="10">
        <v>41730</v>
      </c>
      <c r="N394">
        <v>4</v>
      </c>
      <c r="O394" t="s">
        <v>24</v>
      </c>
      <c r="P394" t="s">
        <v>15</v>
      </c>
      <c r="Q394" s="15">
        <f>Table2[[#This Row],[Discounts]]/Table2[[#This Row],[Gross Sales]]</f>
        <v>0.08</v>
      </c>
    </row>
    <row r="395" spans="1:17" x14ac:dyDescent="0.35">
      <c r="A395" t="s">
        <v>10</v>
      </c>
      <c r="B395" t="s">
        <v>19</v>
      </c>
      <c r="C395" t="s">
        <v>42</v>
      </c>
      <c r="D395" t="s">
        <v>47</v>
      </c>
      <c r="E395" s="9">
        <v>2338</v>
      </c>
      <c r="F395">
        <v>250</v>
      </c>
      <c r="G395">
        <v>7</v>
      </c>
      <c r="H395" s="9">
        <v>16366</v>
      </c>
      <c r="I395" s="9">
        <v>1309.28</v>
      </c>
      <c r="J395" s="9">
        <v>15056.72</v>
      </c>
      <c r="K395" s="9">
        <v>11690</v>
      </c>
      <c r="L395" s="9">
        <v>3366.7199999999993</v>
      </c>
      <c r="M395" s="10">
        <v>41791</v>
      </c>
      <c r="N395">
        <v>6</v>
      </c>
      <c r="O395" t="s">
        <v>26</v>
      </c>
      <c r="P395" t="s">
        <v>15</v>
      </c>
      <c r="Q395" s="15">
        <f>Table2[[#This Row],[Discounts]]/Table2[[#This Row],[Gross Sales]]</f>
        <v>0.08</v>
      </c>
    </row>
    <row r="396" spans="1:17" x14ac:dyDescent="0.35">
      <c r="A396" t="s">
        <v>10</v>
      </c>
      <c r="B396" t="s">
        <v>18</v>
      </c>
      <c r="C396" t="s">
        <v>42</v>
      </c>
      <c r="D396" t="s">
        <v>47</v>
      </c>
      <c r="E396" s="9">
        <v>381</v>
      </c>
      <c r="F396">
        <v>250</v>
      </c>
      <c r="G396">
        <v>350</v>
      </c>
      <c r="H396" s="9">
        <v>133350</v>
      </c>
      <c r="I396" s="9">
        <v>10668</v>
      </c>
      <c r="J396" s="9">
        <v>122682</v>
      </c>
      <c r="K396" s="9">
        <v>99060</v>
      </c>
      <c r="L396" s="9">
        <v>23622</v>
      </c>
      <c r="M396" s="10">
        <v>41852</v>
      </c>
      <c r="N396">
        <v>8</v>
      </c>
      <c r="O396" t="s">
        <v>28</v>
      </c>
      <c r="P396" t="s">
        <v>15</v>
      </c>
      <c r="Q396" s="15">
        <f>Table2[[#This Row],[Discounts]]/Table2[[#This Row],[Gross Sales]]</f>
        <v>0.08</v>
      </c>
    </row>
    <row r="397" spans="1:17" x14ac:dyDescent="0.35">
      <c r="A397" t="s">
        <v>10</v>
      </c>
      <c r="B397" t="s">
        <v>19</v>
      </c>
      <c r="C397" t="s">
        <v>42</v>
      </c>
      <c r="D397" t="s">
        <v>47</v>
      </c>
      <c r="E397" s="9">
        <v>422</v>
      </c>
      <c r="F397">
        <v>250</v>
      </c>
      <c r="G397">
        <v>350</v>
      </c>
      <c r="H397" s="9">
        <v>147700</v>
      </c>
      <c r="I397" s="9">
        <v>11816</v>
      </c>
      <c r="J397" s="9">
        <v>135884</v>
      </c>
      <c r="K397" s="9">
        <v>109720</v>
      </c>
      <c r="L397" s="9">
        <v>26164</v>
      </c>
      <c r="M397" s="10">
        <v>41852</v>
      </c>
      <c r="N397">
        <v>8</v>
      </c>
      <c r="O397" t="s">
        <v>28</v>
      </c>
      <c r="P397" t="s">
        <v>15</v>
      </c>
      <c r="Q397" s="15">
        <f>Table2[[#This Row],[Discounts]]/Table2[[#This Row],[Gross Sales]]</f>
        <v>0.08</v>
      </c>
    </row>
    <row r="398" spans="1:17" x14ac:dyDescent="0.35">
      <c r="A398" t="s">
        <v>7</v>
      </c>
      <c r="B398" t="s">
        <v>16</v>
      </c>
      <c r="C398" t="s">
        <v>42</v>
      </c>
      <c r="D398" t="s">
        <v>47</v>
      </c>
      <c r="E398" s="9">
        <v>2134</v>
      </c>
      <c r="F398">
        <v>250</v>
      </c>
      <c r="G398">
        <v>300</v>
      </c>
      <c r="H398" s="9">
        <v>640200</v>
      </c>
      <c r="I398" s="9">
        <v>51216</v>
      </c>
      <c r="J398" s="9">
        <v>588984</v>
      </c>
      <c r="K398" s="9">
        <v>533500</v>
      </c>
      <c r="L398" s="9">
        <v>55484</v>
      </c>
      <c r="M398" s="10">
        <v>41883</v>
      </c>
      <c r="N398">
        <v>9</v>
      </c>
      <c r="O398" t="s">
        <v>29</v>
      </c>
      <c r="P398" t="s">
        <v>15</v>
      </c>
      <c r="Q398" s="15">
        <f>Table2[[#This Row],[Discounts]]/Table2[[#This Row],[Gross Sales]]</f>
        <v>0.08</v>
      </c>
    </row>
    <row r="399" spans="1:17" x14ac:dyDescent="0.35">
      <c r="A399" t="s">
        <v>7</v>
      </c>
      <c r="B399" t="s">
        <v>92</v>
      </c>
      <c r="C399" t="s">
        <v>42</v>
      </c>
      <c r="D399" t="s">
        <v>47</v>
      </c>
      <c r="E399" s="9">
        <v>808</v>
      </c>
      <c r="F399">
        <v>250</v>
      </c>
      <c r="G399">
        <v>300</v>
      </c>
      <c r="H399" s="9">
        <v>242400</v>
      </c>
      <c r="I399" s="9">
        <v>19392</v>
      </c>
      <c r="J399" s="9">
        <v>223008</v>
      </c>
      <c r="K399" s="9">
        <v>202000</v>
      </c>
      <c r="L399" s="9">
        <v>21008</v>
      </c>
      <c r="M399" s="10">
        <v>41609</v>
      </c>
      <c r="N399">
        <v>12</v>
      </c>
      <c r="O399" t="s">
        <v>32</v>
      </c>
      <c r="P399" t="s">
        <v>14</v>
      </c>
      <c r="Q399" s="15">
        <f>Table2[[#This Row],[Discounts]]/Table2[[#This Row],[Gross Sales]]</f>
        <v>0.08</v>
      </c>
    </row>
    <row r="400" spans="1:17" x14ac:dyDescent="0.35">
      <c r="A400" t="s">
        <v>10</v>
      </c>
      <c r="B400" t="s">
        <v>16</v>
      </c>
      <c r="C400" t="s">
        <v>43</v>
      </c>
      <c r="D400" t="s">
        <v>47</v>
      </c>
      <c r="E400" s="9">
        <v>708</v>
      </c>
      <c r="F400">
        <v>260</v>
      </c>
      <c r="G400">
        <v>20</v>
      </c>
      <c r="H400" s="9">
        <v>14160</v>
      </c>
      <c r="I400" s="9">
        <v>1132.8</v>
      </c>
      <c r="J400" s="9">
        <v>13027.2</v>
      </c>
      <c r="K400" s="9">
        <v>7080</v>
      </c>
      <c r="L400" s="9">
        <v>5947.2000000000007</v>
      </c>
      <c r="M400" s="10">
        <v>41791</v>
      </c>
      <c r="N400">
        <v>6</v>
      </c>
      <c r="O400" t="s">
        <v>26</v>
      </c>
      <c r="P400" t="s">
        <v>15</v>
      </c>
      <c r="Q400" s="15">
        <f>Table2[[#This Row],[Discounts]]/Table2[[#This Row],[Gross Sales]]</f>
        <v>0.08</v>
      </c>
    </row>
    <row r="401" spans="1:17" x14ac:dyDescent="0.35">
      <c r="A401" t="s">
        <v>10</v>
      </c>
      <c r="B401" t="s">
        <v>92</v>
      </c>
      <c r="C401" t="s">
        <v>43</v>
      </c>
      <c r="D401" t="s">
        <v>47</v>
      </c>
      <c r="E401" s="9">
        <v>2907</v>
      </c>
      <c r="F401">
        <v>260</v>
      </c>
      <c r="G401">
        <v>7</v>
      </c>
      <c r="H401" s="9">
        <v>20349</v>
      </c>
      <c r="I401" s="9">
        <v>1627.92</v>
      </c>
      <c r="J401" s="9">
        <v>18721.080000000002</v>
      </c>
      <c r="K401" s="9">
        <v>14535</v>
      </c>
      <c r="L401" s="9">
        <v>4186.0800000000017</v>
      </c>
      <c r="M401" s="10">
        <v>41791</v>
      </c>
      <c r="N401">
        <v>6</v>
      </c>
      <c r="O401" t="s">
        <v>26</v>
      </c>
      <c r="P401" t="s">
        <v>15</v>
      </c>
      <c r="Q401" s="15">
        <f>Table2[[#This Row],[Discounts]]/Table2[[#This Row],[Gross Sales]]</f>
        <v>0.08</v>
      </c>
    </row>
    <row r="402" spans="1:17" x14ac:dyDescent="0.35">
      <c r="A402" t="s">
        <v>10</v>
      </c>
      <c r="B402" t="s">
        <v>19</v>
      </c>
      <c r="C402" t="s">
        <v>43</v>
      </c>
      <c r="D402" t="s">
        <v>47</v>
      </c>
      <c r="E402" s="9">
        <v>1366</v>
      </c>
      <c r="F402">
        <v>260</v>
      </c>
      <c r="G402">
        <v>20</v>
      </c>
      <c r="H402" s="9">
        <v>27320</v>
      </c>
      <c r="I402" s="9">
        <v>2185.6</v>
      </c>
      <c r="J402" s="9">
        <v>25134.400000000001</v>
      </c>
      <c r="K402" s="9">
        <v>13660</v>
      </c>
      <c r="L402" s="9">
        <v>11474.400000000001</v>
      </c>
      <c r="M402" s="10">
        <v>41791</v>
      </c>
      <c r="N402">
        <v>6</v>
      </c>
      <c r="O402" t="s">
        <v>26</v>
      </c>
      <c r="P402" t="s">
        <v>15</v>
      </c>
      <c r="Q402" s="15">
        <f>Table2[[#This Row],[Discounts]]/Table2[[#This Row],[Gross Sales]]</f>
        <v>0.08</v>
      </c>
    </row>
    <row r="403" spans="1:17" x14ac:dyDescent="0.35">
      <c r="A403" t="s">
        <v>7</v>
      </c>
      <c r="B403" t="s">
        <v>20</v>
      </c>
      <c r="C403" t="s">
        <v>43</v>
      </c>
      <c r="D403" t="s">
        <v>47</v>
      </c>
      <c r="E403" s="9">
        <v>2460</v>
      </c>
      <c r="F403">
        <v>260</v>
      </c>
      <c r="G403">
        <v>300</v>
      </c>
      <c r="H403" s="9">
        <v>738000</v>
      </c>
      <c r="I403" s="9">
        <v>59040</v>
      </c>
      <c r="J403" s="9">
        <v>678960</v>
      </c>
      <c r="K403" s="9">
        <v>615000</v>
      </c>
      <c r="L403" s="9">
        <v>63960</v>
      </c>
      <c r="M403" s="10">
        <v>41791</v>
      </c>
      <c r="N403">
        <v>6</v>
      </c>
      <c r="O403" t="s">
        <v>26</v>
      </c>
      <c r="P403" t="s">
        <v>15</v>
      </c>
      <c r="Q403" s="15">
        <f>Table2[[#This Row],[Discounts]]/Table2[[#This Row],[Gross Sales]]</f>
        <v>0.08</v>
      </c>
    </row>
    <row r="404" spans="1:17" x14ac:dyDescent="0.35">
      <c r="A404" t="s">
        <v>10</v>
      </c>
      <c r="B404" t="s">
        <v>19</v>
      </c>
      <c r="C404" t="s">
        <v>43</v>
      </c>
      <c r="D404" t="s">
        <v>47</v>
      </c>
      <c r="E404" s="9">
        <v>1520</v>
      </c>
      <c r="F404">
        <v>260</v>
      </c>
      <c r="G404">
        <v>20</v>
      </c>
      <c r="H404" s="9">
        <v>30400</v>
      </c>
      <c r="I404" s="9">
        <v>2432</v>
      </c>
      <c r="J404" s="9">
        <v>27968</v>
      </c>
      <c r="K404" s="9">
        <v>15200</v>
      </c>
      <c r="L404" s="9">
        <v>12768</v>
      </c>
      <c r="M404" s="10">
        <v>41944</v>
      </c>
      <c r="N404">
        <v>11</v>
      </c>
      <c r="O404" t="s">
        <v>31</v>
      </c>
      <c r="P404" t="s">
        <v>15</v>
      </c>
      <c r="Q404" s="15">
        <f>Table2[[#This Row],[Discounts]]/Table2[[#This Row],[Gross Sales]]</f>
        <v>0.08</v>
      </c>
    </row>
    <row r="405" spans="1:17" x14ac:dyDescent="0.35">
      <c r="A405" t="s">
        <v>8</v>
      </c>
      <c r="B405" t="s">
        <v>19</v>
      </c>
      <c r="C405" t="s">
        <v>43</v>
      </c>
      <c r="D405" t="s">
        <v>47</v>
      </c>
      <c r="E405" s="9">
        <v>711</v>
      </c>
      <c r="F405">
        <v>260</v>
      </c>
      <c r="G405">
        <v>15</v>
      </c>
      <c r="H405" s="9">
        <v>10665</v>
      </c>
      <c r="I405" s="9">
        <v>853.2</v>
      </c>
      <c r="J405" s="9">
        <v>9811.7999999999993</v>
      </c>
      <c r="K405" s="9">
        <v>7110</v>
      </c>
      <c r="L405" s="9">
        <v>2701.7999999999993</v>
      </c>
      <c r="M405" s="10">
        <v>41974</v>
      </c>
      <c r="N405">
        <v>12</v>
      </c>
      <c r="O405" t="s">
        <v>32</v>
      </c>
      <c r="P405" t="s">
        <v>15</v>
      </c>
      <c r="Q405" s="15">
        <f>Table2[[#This Row],[Discounts]]/Table2[[#This Row],[Gross Sales]]</f>
        <v>0.08</v>
      </c>
    </row>
    <row r="406" spans="1:17" x14ac:dyDescent="0.35">
      <c r="A406" t="s">
        <v>11</v>
      </c>
      <c r="B406" t="s">
        <v>20</v>
      </c>
      <c r="C406" t="s">
        <v>43</v>
      </c>
      <c r="D406" t="s">
        <v>47</v>
      </c>
      <c r="E406" s="9">
        <v>1375</v>
      </c>
      <c r="F406">
        <v>260</v>
      </c>
      <c r="G406">
        <v>12</v>
      </c>
      <c r="H406" s="9">
        <v>16500</v>
      </c>
      <c r="I406" s="9">
        <v>1320</v>
      </c>
      <c r="J406" s="9">
        <v>15180</v>
      </c>
      <c r="K406" s="9">
        <v>4125</v>
      </c>
      <c r="L406" s="9">
        <v>11055</v>
      </c>
      <c r="M406" s="10">
        <v>41609</v>
      </c>
      <c r="N406">
        <v>12</v>
      </c>
      <c r="O406" t="s">
        <v>32</v>
      </c>
      <c r="P406" t="s">
        <v>14</v>
      </c>
      <c r="Q406" s="15">
        <f>Table2[[#This Row],[Discounts]]/Table2[[#This Row],[Gross Sales]]</f>
        <v>0.08</v>
      </c>
    </row>
    <row r="407" spans="1:17" x14ac:dyDescent="0.35">
      <c r="A407" t="s">
        <v>7</v>
      </c>
      <c r="B407" t="s">
        <v>20</v>
      </c>
      <c r="C407" t="s">
        <v>43</v>
      </c>
      <c r="D407" t="s">
        <v>47</v>
      </c>
      <c r="E407" s="9">
        <v>635</v>
      </c>
      <c r="F407">
        <v>260</v>
      </c>
      <c r="G407">
        <v>300</v>
      </c>
      <c r="H407" s="9">
        <v>190500</v>
      </c>
      <c r="I407" s="9">
        <v>15240</v>
      </c>
      <c r="J407" s="9">
        <v>175260</v>
      </c>
      <c r="K407" s="9">
        <v>158750</v>
      </c>
      <c r="L407" s="9">
        <v>16510</v>
      </c>
      <c r="M407" s="10">
        <v>41974</v>
      </c>
      <c r="N407">
        <v>12</v>
      </c>
      <c r="O407" t="s">
        <v>32</v>
      </c>
      <c r="P407" t="s">
        <v>15</v>
      </c>
      <c r="Q407" s="15">
        <f>Table2[[#This Row],[Discounts]]/Table2[[#This Row],[Gross Sales]]</f>
        <v>0.08</v>
      </c>
    </row>
    <row r="408" spans="1:17" x14ac:dyDescent="0.35">
      <c r="A408" t="s">
        <v>10</v>
      </c>
      <c r="B408" t="s">
        <v>92</v>
      </c>
      <c r="C408" t="s">
        <v>42</v>
      </c>
      <c r="D408" t="s">
        <v>47</v>
      </c>
      <c r="E408" s="9">
        <v>436.5</v>
      </c>
      <c r="F408">
        <v>250</v>
      </c>
      <c r="G408">
        <v>20</v>
      </c>
      <c r="H408" s="9">
        <v>8730</v>
      </c>
      <c r="I408" s="9">
        <v>698.40000000000009</v>
      </c>
      <c r="J408" s="9">
        <v>8031.5999999999995</v>
      </c>
      <c r="K408" s="9">
        <v>4365</v>
      </c>
      <c r="L408" s="9">
        <v>3666.5999999999995</v>
      </c>
      <c r="M408" s="10">
        <v>41821</v>
      </c>
      <c r="N408">
        <v>7</v>
      </c>
      <c r="O408" t="s">
        <v>27</v>
      </c>
      <c r="P408" t="s">
        <v>15</v>
      </c>
      <c r="Q408" s="15">
        <f>Table2[[#This Row],[Discounts]]/Table2[[#This Row],[Gross Sales]]</f>
        <v>8.0000000000000016E-2</v>
      </c>
    </row>
    <row r="409" spans="1:17" x14ac:dyDescent="0.35">
      <c r="A409" t="s">
        <v>7</v>
      </c>
      <c r="B409" t="s">
        <v>16</v>
      </c>
      <c r="C409" t="s">
        <v>38</v>
      </c>
      <c r="D409" t="s">
        <v>47</v>
      </c>
      <c r="E409" s="9">
        <v>1094</v>
      </c>
      <c r="F409">
        <v>3</v>
      </c>
      <c r="G409">
        <v>300</v>
      </c>
      <c r="H409" s="9">
        <v>328200</v>
      </c>
      <c r="I409" s="9">
        <v>29538</v>
      </c>
      <c r="J409" s="9">
        <v>298662</v>
      </c>
      <c r="K409" s="9">
        <v>273500</v>
      </c>
      <c r="L409" s="9">
        <v>25162</v>
      </c>
      <c r="M409" s="10">
        <v>41791</v>
      </c>
      <c r="N409">
        <v>6</v>
      </c>
      <c r="O409" t="s">
        <v>26</v>
      </c>
      <c r="P409" t="s">
        <v>15</v>
      </c>
      <c r="Q409" s="15">
        <f>Table2[[#This Row],[Discounts]]/Table2[[#This Row],[Gross Sales]]</f>
        <v>0.09</v>
      </c>
    </row>
    <row r="410" spans="1:17" x14ac:dyDescent="0.35">
      <c r="A410" t="s">
        <v>11</v>
      </c>
      <c r="B410" t="s">
        <v>20</v>
      </c>
      <c r="C410" t="s">
        <v>38</v>
      </c>
      <c r="D410" t="s">
        <v>47</v>
      </c>
      <c r="E410" s="9">
        <v>367</v>
      </c>
      <c r="F410">
        <v>3</v>
      </c>
      <c r="G410">
        <v>12</v>
      </c>
      <c r="H410" s="9">
        <v>4404</v>
      </c>
      <c r="I410" s="9">
        <v>396.36</v>
      </c>
      <c r="J410" s="9">
        <v>4007.64</v>
      </c>
      <c r="K410" s="9">
        <v>1101</v>
      </c>
      <c r="L410" s="9">
        <v>2906.64</v>
      </c>
      <c r="M410" s="10">
        <v>41548</v>
      </c>
      <c r="N410">
        <v>10</v>
      </c>
      <c r="O410" t="s">
        <v>30</v>
      </c>
      <c r="P410" t="s">
        <v>14</v>
      </c>
      <c r="Q410" s="15">
        <f>Table2[[#This Row],[Discounts]]/Table2[[#This Row],[Gross Sales]]</f>
        <v>0.09</v>
      </c>
    </row>
    <row r="411" spans="1:17" x14ac:dyDescent="0.35">
      <c r="A411" t="s">
        <v>7</v>
      </c>
      <c r="B411" t="s">
        <v>16</v>
      </c>
      <c r="C411" t="s">
        <v>39</v>
      </c>
      <c r="D411" t="s">
        <v>47</v>
      </c>
      <c r="E411" s="9">
        <v>3802.5</v>
      </c>
      <c r="F411">
        <v>5</v>
      </c>
      <c r="G411">
        <v>300</v>
      </c>
      <c r="H411" s="9">
        <v>1140750</v>
      </c>
      <c r="I411" s="9">
        <v>102667.5</v>
      </c>
      <c r="J411" s="9">
        <v>1038082.5</v>
      </c>
      <c r="K411" s="9">
        <v>950625</v>
      </c>
      <c r="L411" s="9">
        <v>87457.5</v>
      </c>
      <c r="M411" s="10">
        <v>41730</v>
      </c>
      <c r="N411">
        <v>4</v>
      </c>
      <c r="O411" t="s">
        <v>24</v>
      </c>
      <c r="P411" t="s">
        <v>15</v>
      </c>
      <c r="Q411" s="15">
        <f>Table2[[#This Row],[Discounts]]/Table2[[#This Row],[Gross Sales]]</f>
        <v>0.09</v>
      </c>
    </row>
    <row r="412" spans="1:17" x14ac:dyDescent="0.35">
      <c r="A412" t="s">
        <v>10</v>
      </c>
      <c r="B412" t="s">
        <v>18</v>
      </c>
      <c r="C412" t="s">
        <v>39</v>
      </c>
      <c r="D412" t="s">
        <v>47</v>
      </c>
      <c r="E412" s="9">
        <v>1666</v>
      </c>
      <c r="F412">
        <v>5</v>
      </c>
      <c r="G412">
        <v>350</v>
      </c>
      <c r="H412" s="9">
        <v>583100</v>
      </c>
      <c r="I412" s="9">
        <v>52479</v>
      </c>
      <c r="J412" s="9">
        <v>530621</v>
      </c>
      <c r="K412" s="9">
        <v>433160</v>
      </c>
      <c r="L412" s="9">
        <v>97461</v>
      </c>
      <c r="M412" s="10">
        <v>41760</v>
      </c>
      <c r="N412">
        <v>5</v>
      </c>
      <c r="O412" t="s">
        <v>25</v>
      </c>
      <c r="P412" t="s">
        <v>15</v>
      </c>
      <c r="Q412" s="15">
        <f>Table2[[#This Row],[Discounts]]/Table2[[#This Row],[Gross Sales]]</f>
        <v>0.09</v>
      </c>
    </row>
    <row r="413" spans="1:17" x14ac:dyDescent="0.35">
      <c r="A413" t="s">
        <v>7</v>
      </c>
      <c r="B413" t="s">
        <v>18</v>
      </c>
      <c r="C413" t="s">
        <v>39</v>
      </c>
      <c r="D413" t="s">
        <v>47</v>
      </c>
      <c r="E413" s="9">
        <v>322</v>
      </c>
      <c r="F413">
        <v>5</v>
      </c>
      <c r="G413">
        <v>300</v>
      </c>
      <c r="H413" s="9">
        <v>96600</v>
      </c>
      <c r="I413" s="9">
        <v>8694</v>
      </c>
      <c r="J413" s="9">
        <v>87906</v>
      </c>
      <c r="K413" s="9">
        <v>80500</v>
      </c>
      <c r="L413" s="9">
        <v>7406</v>
      </c>
      <c r="M413" s="10">
        <v>41518</v>
      </c>
      <c r="N413">
        <v>9</v>
      </c>
      <c r="O413" t="s">
        <v>29</v>
      </c>
      <c r="P413" t="s">
        <v>14</v>
      </c>
      <c r="Q413" s="15">
        <f>Table2[[#This Row],[Discounts]]/Table2[[#This Row],[Gross Sales]]</f>
        <v>0.09</v>
      </c>
    </row>
    <row r="414" spans="1:17" x14ac:dyDescent="0.35">
      <c r="A414" t="s">
        <v>11</v>
      </c>
      <c r="B414" t="s">
        <v>16</v>
      </c>
      <c r="C414" t="s">
        <v>39</v>
      </c>
      <c r="D414" t="s">
        <v>47</v>
      </c>
      <c r="E414" s="9">
        <v>2321</v>
      </c>
      <c r="F414">
        <v>5</v>
      </c>
      <c r="G414">
        <v>12</v>
      </c>
      <c r="H414" s="9">
        <v>27852</v>
      </c>
      <c r="I414" s="9">
        <v>2506.6799999999998</v>
      </c>
      <c r="J414" s="9">
        <v>25345.32</v>
      </c>
      <c r="K414" s="9">
        <v>6963</v>
      </c>
      <c r="L414" s="9">
        <v>18382.32</v>
      </c>
      <c r="M414" s="10">
        <v>41944</v>
      </c>
      <c r="N414">
        <v>11</v>
      </c>
      <c r="O414" t="s">
        <v>31</v>
      </c>
      <c r="P414" t="s">
        <v>15</v>
      </c>
      <c r="Q414" s="15">
        <f>Table2[[#This Row],[Discounts]]/Table2[[#This Row],[Gross Sales]]</f>
        <v>0.09</v>
      </c>
    </row>
    <row r="415" spans="1:17" x14ac:dyDescent="0.35">
      <c r="A415" t="s">
        <v>9</v>
      </c>
      <c r="B415" t="s">
        <v>18</v>
      </c>
      <c r="C415" t="s">
        <v>39</v>
      </c>
      <c r="D415" t="s">
        <v>47</v>
      </c>
      <c r="E415" s="9">
        <v>1857</v>
      </c>
      <c r="F415">
        <v>5</v>
      </c>
      <c r="G415">
        <v>125</v>
      </c>
      <c r="H415" s="9">
        <v>232125</v>
      </c>
      <c r="I415" s="9">
        <v>20891.25</v>
      </c>
      <c r="J415" s="9">
        <v>211233.75</v>
      </c>
      <c r="K415" s="9">
        <v>222840</v>
      </c>
      <c r="L415" s="9">
        <v>-11606.25</v>
      </c>
      <c r="M415" s="10">
        <v>41579</v>
      </c>
      <c r="N415">
        <v>11</v>
      </c>
      <c r="O415" t="s">
        <v>31</v>
      </c>
      <c r="P415" t="s">
        <v>14</v>
      </c>
      <c r="Q415" s="15">
        <f>Table2[[#This Row],[Discounts]]/Table2[[#This Row],[Gross Sales]]</f>
        <v>0.09</v>
      </c>
    </row>
    <row r="416" spans="1:17" x14ac:dyDescent="0.35">
      <c r="A416" t="s">
        <v>10</v>
      </c>
      <c r="B416" t="s">
        <v>16</v>
      </c>
      <c r="C416" t="s">
        <v>39</v>
      </c>
      <c r="D416" t="s">
        <v>47</v>
      </c>
      <c r="E416" s="9">
        <v>1611</v>
      </c>
      <c r="F416">
        <v>5</v>
      </c>
      <c r="G416">
        <v>7</v>
      </c>
      <c r="H416" s="9">
        <v>11277</v>
      </c>
      <c r="I416" s="9">
        <v>1014.93</v>
      </c>
      <c r="J416" s="9">
        <v>10262.07</v>
      </c>
      <c r="K416" s="9">
        <v>8055</v>
      </c>
      <c r="L416" s="9">
        <v>2207.0699999999997</v>
      </c>
      <c r="M416" s="10">
        <v>41609</v>
      </c>
      <c r="N416">
        <v>12</v>
      </c>
      <c r="O416" t="s">
        <v>32</v>
      </c>
      <c r="P416" t="s">
        <v>14</v>
      </c>
      <c r="Q416" s="15">
        <f>Table2[[#This Row],[Discounts]]/Table2[[#This Row],[Gross Sales]]</f>
        <v>0.09</v>
      </c>
    </row>
    <row r="417" spans="1:17" x14ac:dyDescent="0.35">
      <c r="A417" t="s">
        <v>9</v>
      </c>
      <c r="B417" t="s">
        <v>92</v>
      </c>
      <c r="C417" t="s">
        <v>39</v>
      </c>
      <c r="D417" t="s">
        <v>47</v>
      </c>
      <c r="E417" s="9">
        <v>2797</v>
      </c>
      <c r="F417">
        <v>5</v>
      </c>
      <c r="G417">
        <v>125</v>
      </c>
      <c r="H417" s="9">
        <v>349625</v>
      </c>
      <c r="I417" s="9">
        <v>31466.25</v>
      </c>
      <c r="J417" s="9">
        <v>318158.75</v>
      </c>
      <c r="K417" s="9">
        <v>335640</v>
      </c>
      <c r="L417" s="9">
        <v>-17481.25</v>
      </c>
      <c r="M417" s="10">
        <v>41974</v>
      </c>
      <c r="N417">
        <v>12</v>
      </c>
      <c r="O417" t="s">
        <v>32</v>
      </c>
      <c r="P417" t="s">
        <v>15</v>
      </c>
      <c r="Q417" s="15">
        <f>Table2[[#This Row],[Discounts]]/Table2[[#This Row],[Gross Sales]]</f>
        <v>0.09</v>
      </c>
    </row>
    <row r="418" spans="1:17" x14ac:dyDescent="0.35">
      <c r="A418" t="s">
        <v>7</v>
      </c>
      <c r="B418" t="s">
        <v>19</v>
      </c>
      <c r="C418" t="s">
        <v>39</v>
      </c>
      <c r="D418" t="s">
        <v>47</v>
      </c>
      <c r="E418" s="9">
        <v>334</v>
      </c>
      <c r="F418">
        <v>5</v>
      </c>
      <c r="G418">
        <v>300</v>
      </c>
      <c r="H418" s="9">
        <v>100200</v>
      </c>
      <c r="I418" s="9">
        <v>9018</v>
      </c>
      <c r="J418" s="9">
        <v>91182</v>
      </c>
      <c r="K418" s="9">
        <v>83500</v>
      </c>
      <c r="L418" s="9">
        <v>7682</v>
      </c>
      <c r="M418" s="10">
        <v>41609</v>
      </c>
      <c r="N418">
        <v>12</v>
      </c>
      <c r="O418" t="s">
        <v>32</v>
      </c>
      <c r="P418" t="s">
        <v>14</v>
      </c>
      <c r="Q418" s="15">
        <f>Table2[[#This Row],[Discounts]]/Table2[[#This Row],[Gross Sales]]</f>
        <v>0.09</v>
      </c>
    </row>
    <row r="419" spans="1:17" x14ac:dyDescent="0.35">
      <c r="A419" t="s">
        <v>7</v>
      </c>
      <c r="B419" t="s">
        <v>20</v>
      </c>
      <c r="C419" t="s">
        <v>40</v>
      </c>
      <c r="D419" t="s">
        <v>47</v>
      </c>
      <c r="E419" s="9">
        <v>2565</v>
      </c>
      <c r="F419">
        <v>10</v>
      </c>
      <c r="G419">
        <v>300</v>
      </c>
      <c r="H419" s="9">
        <v>769500</v>
      </c>
      <c r="I419" s="9">
        <v>69255</v>
      </c>
      <c r="J419" s="9">
        <v>700245</v>
      </c>
      <c r="K419" s="9">
        <v>641250</v>
      </c>
      <c r="L419" s="9">
        <v>58995</v>
      </c>
      <c r="M419" s="10">
        <v>41640</v>
      </c>
      <c r="N419">
        <v>1</v>
      </c>
      <c r="O419" t="s">
        <v>21</v>
      </c>
      <c r="P419" t="s">
        <v>15</v>
      </c>
      <c r="Q419" s="15">
        <f>Table2[[#This Row],[Discounts]]/Table2[[#This Row],[Gross Sales]]</f>
        <v>0.09</v>
      </c>
    </row>
    <row r="420" spans="1:17" x14ac:dyDescent="0.35">
      <c r="A420" t="s">
        <v>10</v>
      </c>
      <c r="B420" t="s">
        <v>20</v>
      </c>
      <c r="C420" t="s">
        <v>40</v>
      </c>
      <c r="D420" t="s">
        <v>47</v>
      </c>
      <c r="E420" s="9">
        <v>2417</v>
      </c>
      <c r="F420">
        <v>10</v>
      </c>
      <c r="G420">
        <v>350</v>
      </c>
      <c r="H420" s="9">
        <v>845950</v>
      </c>
      <c r="I420" s="9">
        <v>76135.5</v>
      </c>
      <c r="J420" s="9">
        <v>769814.5</v>
      </c>
      <c r="K420" s="9">
        <v>628420</v>
      </c>
      <c r="L420" s="9">
        <v>141394.5</v>
      </c>
      <c r="M420" s="10">
        <v>41640</v>
      </c>
      <c r="N420">
        <v>1</v>
      </c>
      <c r="O420" t="s">
        <v>21</v>
      </c>
      <c r="P420" t="s">
        <v>15</v>
      </c>
      <c r="Q420" s="15">
        <f>Table2[[#This Row],[Discounts]]/Table2[[#This Row],[Gross Sales]]</f>
        <v>0.09</v>
      </c>
    </row>
    <row r="421" spans="1:17" x14ac:dyDescent="0.35">
      <c r="A421" t="s">
        <v>8</v>
      </c>
      <c r="B421" t="s">
        <v>92</v>
      </c>
      <c r="C421" t="s">
        <v>40</v>
      </c>
      <c r="D421" t="s">
        <v>47</v>
      </c>
      <c r="E421" s="9">
        <v>3675</v>
      </c>
      <c r="F421">
        <v>10</v>
      </c>
      <c r="G421">
        <v>15</v>
      </c>
      <c r="H421" s="9">
        <v>55125</v>
      </c>
      <c r="I421" s="9">
        <v>4961.25</v>
      </c>
      <c r="J421" s="9">
        <v>50163.75</v>
      </c>
      <c r="K421" s="9">
        <v>36750</v>
      </c>
      <c r="L421" s="9">
        <v>13413.75</v>
      </c>
      <c r="M421" s="10">
        <v>41730</v>
      </c>
      <c r="N421">
        <v>4</v>
      </c>
      <c r="O421" t="s">
        <v>24</v>
      </c>
      <c r="P421" t="s">
        <v>15</v>
      </c>
      <c r="Q421" s="15">
        <f>Table2[[#This Row],[Discounts]]/Table2[[#This Row],[Gross Sales]]</f>
        <v>0.09</v>
      </c>
    </row>
    <row r="422" spans="1:17" x14ac:dyDescent="0.35">
      <c r="A422" t="s">
        <v>7</v>
      </c>
      <c r="B422" t="s">
        <v>16</v>
      </c>
      <c r="C422" t="s">
        <v>40</v>
      </c>
      <c r="D422" t="s">
        <v>47</v>
      </c>
      <c r="E422" s="9">
        <v>1094</v>
      </c>
      <c r="F422">
        <v>10</v>
      </c>
      <c r="G422">
        <v>300</v>
      </c>
      <c r="H422" s="9">
        <v>328200</v>
      </c>
      <c r="I422" s="9">
        <v>29538</v>
      </c>
      <c r="J422" s="9">
        <v>298662</v>
      </c>
      <c r="K422" s="9">
        <v>273500</v>
      </c>
      <c r="L422" s="9">
        <v>25162</v>
      </c>
      <c r="M422" s="10">
        <v>41791</v>
      </c>
      <c r="N422">
        <v>6</v>
      </c>
      <c r="O422" t="s">
        <v>26</v>
      </c>
      <c r="P422" t="s">
        <v>15</v>
      </c>
      <c r="Q422" s="15">
        <f>Table2[[#This Row],[Discounts]]/Table2[[#This Row],[Gross Sales]]</f>
        <v>0.09</v>
      </c>
    </row>
    <row r="423" spans="1:17" x14ac:dyDescent="0.35">
      <c r="A423" t="s">
        <v>8</v>
      </c>
      <c r="B423" t="s">
        <v>18</v>
      </c>
      <c r="C423" t="s">
        <v>40</v>
      </c>
      <c r="D423" t="s">
        <v>47</v>
      </c>
      <c r="E423" s="9">
        <v>1227</v>
      </c>
      <c r="F423">
        <v>10</v>
      </c>
      <c r="G423">
        <v>15</v>
      </c>
      <c r="H423" s="9">
        <v>18405</v>
      </c>
      <c r="I423" s="9">
        <v>1656.45</v>
      </c>
      <c r="J423" s="9">
        <v>16748.55</v>
      </c>
      <c r="K423" s="9">
        <v>12270</v>
      </c>
      <c r="L423" s="9">
        <v>4478.5499999999993</v>
      </c>
      <c r="M423" s="10">
        <v>41913</v>
      </c>
      <c r="N423">
        <v>10</v>
      </c>
      <c r="O423" t="s">
        <v>30</v>
      </c>
      <c r="P423" t="s">
        <v>15</v>
      </c>
      <c r="Q423" s="15">
        <f>Table2[[#This Row],[Discounts]]/Table2[[#This Row],[Gross Sales]]</f>
        <v>0.09</v>
      </c>
    </row>
    <row r="424" spans="1:17" x14ac:dyDescent="0.35">
      <c r="A424" t="s">
        <v>11</v>
      </c>
      <c r="B424" t="s">
        <v>20</v>
      </c>
      <c r="C424" t="s">
        <v>40</v>
      </c>
      <c r="D424" t="s">
        <v>47</v>
      </c>
      <c r="E424" s="9">
        <v>367</v>
      </c>
      <c r="F424">
        <v>10</v>
      </c>
      <c r="G424">
        <v>12</v>
      </c>
      <c r="H424" s="9">
        <v>4404</v>
      </c>
      <c r="I424" s="9">
        <v>396.36</v>
      </c>
      <c r="J424" s="9">
        <v>4007.64</v>
      </c>
      <c r="K424" s="9">
        <v>1101</v>
      </c>
      <c r="L424" s="9">
        <v>2906.64</v>
      </c>
      <c r="M424" s="10">
        <v>41548</v>
      </c>
      <c r="N424">
        <v>10</v>
      </c>
      <c r="O424" t="s">
        <v>30</v>
      </c>
      <c r="P424" t="s">
        <v>14</v>
      </c>
      <c r="Q424" s="15">
        <f>Table2[[#This Row],[Discounts]]/Table2[[#This Row],[Gross Sales]]</f>
        <v>0.09</v>
      </c>
    </row>
    <row r="425" spans="1:17" x14ac:dyDescent="0.35">
      <c r="A425" t="s">
        <v>7</v>
      </c>
      <c r="B425" t="s">
        <v>18</v>
      </c>
      <c r="C425" t="s">
        <v>40</v>
      </c>
      <c r="D425" t="s">
        <v>47</v>
      </c>
      <c r="E425" s="9">
        <v>1324</v>
      </c>
      <c r="F425">
        <v>10</v>
      </c>
      <c r="G425">
        <v>300</v>
      </c>
      <c r="H425" s="9">
        <v>397200</v>
      </c>
      <c r="I425" s="9">
        <v>35748</v>
      </c>
      <c r="J425" s="9">
        <v>361452</v>
      </c>
      <c r="K425" s="9">
        <v>331000</v>
      </c>
      <c r="L425" s="9">
        <v>30452</v>
      </c>
      <c r="M425" s="10">
        <v>41944</v>
      </c>
      <c r="N425">
        <v>11</v>
      </c>
      <c r="O425" t="s">
        <v>31</v>
      </c>
      <c r="P425" t="s">
        <v>15</v>
      </c>
      <c r="Q425" s="15">
        <f>Table2[[#This Row],[Discounts]]/Table2[[#This Row],[Gross Sales]]</f>
        <v>0.09</v>
      </c>
    </row>
    <row r="426" spans="1:17" x14ac:dyDescent="0.35">
      <c r="A426" t="s">
        <v>11</v>
      </c>
      <c r="B426" t="s">
        <v>19</v>
      </c>
      <c r="C426" t="s">
        <v>40</v>
      </c>
      <c r="D426" t="s">
        <v>47</v>
      </c>
      <c r="E426" s="9">
        <v>1775</v>
      </c>
      <c r="F426">
        <v>10</v>
      </c>
      <c r="G426">
        <v>12</v>
      </c>
      <c r="H426" s="9">
        <v>21300</v>
      </c>
      <c r="I426" s="9">
        <v>1917</v>
      </c>
      <c r="J426" s="9">
        <v>19383</v>
      </c>
      <c r="K426" s="9">
        <v>5325</v>
      </c>
      <c r="L426" s="9">
        <v>14058</v>
      </c>
      <c r="M426" s="10">
        <v>41579</v>
      </c>
      <c r="N426">
        <v>11</v>
      </c>
      <c r="O426" t="s">
        <v>31</v>
      </c>
      <c r="P426" t="s">
        <v>14</v>
      </c>
      <c r="Q426" s="15">
        <f>Table2[[#This Row],[Discounts]]/Table2[[#This Row],[Gross Sales]]</f>
        <v>0.09</v>
      </c>
    </row>
    <row r="427" spans="1:17" x14ac:dyDescent="0.35">
      <c r="A427" t="s">
        <v>9</v>
      </c>
      <c r="B427" t="s">
        <v>92</v>
      </c>
      <c r="C427" t="s">
        <v>40</v>
      </c>
      <c r="D427" t="s">
        <v>47</v>
      </c>
      <c r="E427" s="9">
        <v>2797</v>
      </c>
      <c r="F427">
        <v>10</v>
      </c>
      <c r="G427">
        <v>125</v>
      </c>
      <c r="H427" s="9">
        <v>349625</v>
      </c>
      <c r="I427" s="9">
        <v>31466.25</v>
      </c>
      <c r="J427" s="9">
        <v>318158.75</v>
      </c>
      <c r="K427" s="9">
        <v>335640</v>
      </c>
      <c r="L427" s="9">
        <v>-17481.25</v>
      </c>
      <c r="M427" s="10">
        <v>41974</v>
      </c>
      <c r="N427">
        <v>12</v>
      </c>
      <c r="O427" t="s">
        <v>32</v>
      </c>
      <c r="P427" t="s">
        <v>15</v>
      </c>
      <c r="Q427" s="15">
        <f>Table2[[#This Row],[Discounts]]/Table2[[#This Row],[Gross Sales]]</f>
        <v>0.09</v>
      </c>
    </row>
    <row r="428" spans="1:17" x14ac:dyDescent="0.35">
      <c r="A428" t="s">
        <v>8</v>
      </c>
      <c r="B428" t="s">
        <v>20</v>
      </c>
      <c r="C428" t="s">
        <v>41</v>
      </c>
      <c r="D428" t="s">
        <v>47</v>
      </c>
      <c r="E428" s="9">
        <v>245</v>
      </c>
      <c r="F428">
        <v>120</v>
      </c>
      <c r="G428">
        <v>15</v>
      </c>
      <c r="H428" s="9">
        <v>3675</v>
      </c>
      <c r="I428" s="9">
        <v>330.75</v>
      </c>
      <c r="J428" s="9">
        <v>3344.25</v>
      </c>
      <c r="K428" s="9">
        <v>2450</v>
      </c>
      <c r="L428" s="9">
        <v>894.25</v>
      </c>
      <c r="M428" s="10">
        <v>41760</v>
      </c>
      <c r="N428">
        <v>5</v>
      </c>
      <c r="O428" t="s">
        <v>25</v>
      </c>
      <c r="P428" t="s">
        <v>15</v>
      </c>
      <c r="Q428" s="15">
        <f>Table2[[#This Row],[Discounts]]/Table2[[#This Row],[Gross Sales]]</f>
        <v>0.09</v>
      </c>
    </row>
    <row r="429" spans="1:17" x14ac:dyDescent="0.35">
      <c r="A429" t="s">
        <v>7</v>
      </c>
      <c r="B429" t="s">
        <v>16</v>
      </c>
      <c r="C429" t="s">
        <v>41</v>
      </c>
      <c r="D429" t="s">
        <v>47</v>
      </c>
      <c r="E429" s="9">
        <v>3793.5</v>
      </c>
      <c r="F429">
        <v>120</v>
      </c>
      <c r="G429">
        <v>300</v>
      </c>
      <c r="H429" s="9">
        <v>1138050</v>
      </c>
      <c r="I429" s="9">
        <v>102424.5</v>
      </c>
      <c r="J429" s="9">
        <v>1035625.5</v>
      </c>
      <c r="K429" s="9">
        <v>948375</v>
      </c>
      <c r="L429" s="9">
        <v>87250.5</v>
      </c>
      <c r="M429" s="10">
        <v>41821</v>
      </c>
      <c r="N429">
        <v>7</v>
      </c>
      <c r="O429" t="s">
        <v>27</v>
      </c>
      <c r="P429" t="s">
        <v>15</v>
      </c>
      <c r="Q429" s="15">
        <f>Table2[[#This Row],[Discounts]]/Table2[[#This Row],[Gross Sales]]</f>
        <v>0.09</v>
      </c>
    </row>
    <row r="430" spans="1:17" x14ac:dyDescent="0.35">
      <c r="A430" t="s">
        <v>10</v>
      </c>
      <c r="B430" t="s">
        <v>19</v>
      </c>
      <c r="C430" t="s">
        <v>41</v>
      </c>
      <c r="D430" t="s">
        <v>47</v>
      </c>
      <c r="E430" s="9">
        <v>1307</v>
      </c>
      <c r="F430">
        <v>120</v>
      </c>
      <c r="G430">
        <v>350</v>
      </c>
      <c r="H430" s="9">
        <v>457450</v>
      </c>
      <c r="I430" s="9">
        <v>41170.5</v>
      </c>
      <c r="J430" s="9">
        <v>416279.5</v>
      </c>
      <c r="K430" s="9">
        <v>339820</v>
      </c>
      <c r="L430" s="9">
        <v>76459.5</v>
      </c>
      <c r="M430" s="10">
        <v>41821</v>
      </c>
      <c r="N430">
        <v>7</v>
      </c>
      <c r="O430" t="s">
        <v>27</v>
      </c>
      <c r="P430" t="s">
        <v>15</v>
      </c>
      <c r="Q430" s="15">
        <f>Table2[[#This Row],[Discounts]]/Table2[[#This Row],[Gross Sales]]</f>
        <v>0.09</v>
      </c>
    </row>
    <row r="431" spans="1:17" x14ac:dyDescent="0.35">
      <c r="A431" t="s">
        <v>9</v>
      </c>
      <c r="B431" t="s">
        <v>16</v>
      </c>
      <c r="C431" t="s">
        <v>41</v>
      </c>
      <c r="D431" t="s">
        <v>47</v>
      </c>
      <c r="E431" s="9">
        <v>567</v>
      </c>
      <c r="F431">
        <v>120</v>
      </c>
      <c r="G431">
        <v>125</v>
      </c>
      <c r="H431" s="9">
        <v>70875</v>
      </c>
      <c r="I431" s="9">
        <v>6378.75</v>
      </c>
      <c r="J431" s="9">
        <v>64496.25</v>
      </c>
      <c r="K431" s="9">
        <v>68040</v>
      </c>
      <c r="L431" s="9">
        <v>-3543.75</v>
      </c>
      <c r="M431" s="10">
        <v>41883</v>
      </c>
      <c r="N431">
        <v>9</v>
      </c>
      <c r="O431" t="s">
        <v>29</v>
      </c>
      <c r="P431" t="s">
        <v>15</v>
      </c>
      <c r="Q431" s="15">
        <f>Table2[[#This Row],[Discounts]]/Table2[[#This Row],[Gross Sales]]</f>
        <v>0.09</v>
      </c>
    </row>
    <row r="432" spans="1:17" x14ac:dyDescent="0.35">
      <c r="A432" t="s">
        <v>9</v>
      </c>
      <c r="B432" t="s">
        <v>20</v>
      </c>
      <c r="C432" t="s">
        <v>41</v>
      </c>
      <c r="D432" t="s">
        <v>47</v>
      </c>
      <c r="E432" s="9">
        <v>2110</v>
      </c>
      <c r="F432">
        <v>120</v>
      </c>
      <c r="G432">
        <v>125</v>
      </c>
      <c r="H432" s="9">
        <v>263750</v>
      </c>
      <c r="I432" s="9">
        <v>23737.5</v>
      </c>
      <c r="J432" s="9">
        <v>240012.5</v>
      </c>
      <c r="K432" s="9">
        <v>253200</v>
      </c>
      <c r="L432" s="9">
        <v>-13187.5</v>
      </c>
      <c r="M432" s="10">
        <v>41883</v>
      </c>
      <c r="N432">
        <v>9</v>
      </c>
      <c r="O432" t="s">
        <v>29</v>
      </c>
      <c r="P432" t="s">
        <v>15</v>
      </c>
      <c r="Q432" s="15">
        <f>Table2[[#This Row],[Discounts]]/Table2[[#This Row],[Gross Sales]]</f>
        <v>0.09</v>
      </c>
    </row>
    <row r="433" spans="1:17" x14ac:dyDescent="0.35">
      <c r="A433" t="s">
        <v>10</v>
      </c>
      <c r="B433" t="s">
        <v>16</v>
      </c>
      <c r="C433" t="s">
        <v>41</v>
      </c>
      <c r="D433" t="s">
        <v>47</v>
      </c>
      <c r="E433" s="9">
        <v>1269</v>
      </c>
      <c r="F433">
        <v>120</v>
      </c>
      <c r="G433">
        <v>350</v>
      </c>
      <c r="H433" s="9">
        <v>444150</v>
      </c>
      <c r="I433" s="9">
        <v>39973.5</v>
      </c>
      <c r="J433" s="9">
        <v>404176.5</v>
      </c>
      <c r="K433" s="9">
        <v>329940</v>
      </c>
      <c r="L433" s="9">
        <v>74236.5</v>
      </c>
      <c r="M433" s="10">
        <v>41913</v>
      </c>
      <c r="N433">
        <v>10</v>
      </c>
      <c r="O433" t="s">
        <v>30</v>
      </c>
      <c r="P433" t="s">
        <v>15</v>
      </c>
      <c r="Q433" s="15">
        <f>Table2[[#This Row],[Discounts]]/Table2[[#This Row],[Gross Sales]]</f>
        <v>0.09</v>
      </c>
    </row>
    <row r="434" spans="1:17" x14ac:dyDescent="0.35">
      <c r="A434" t="s">
        <v>11</v>
      </c>
      <c r="B434" t="s">
        <v>92</v>
      </c>
      <c r="C434" t="s">
        <v>42</v>
      </c>
      <c r="D434" t="s">
        <v>47</v>
      </c>
      <c r="E434" s="9">
        <v>1956</v>
      </c>
      <c r="F434">
        <v>250</v>
      </c>
      <c r="G434">
        <v>12</v>
      </c>
      <c r="H434" s="9">
        <v>23472</v>
      </c>
      <c r="I434" s="9">
        <v>2112.48</v>
      </c>
      <c r="J434" s="9">
        <v>21359.52</v>
      </c>
      <c r="K434" s="9">
        <v>5868</v>
      </c>
      <c r="L434" s="9">
        <v>15491.52</v>
      </c>
      <c r="M434" s="10">
        <v>41640</v>
      </c>
      <c r="N434">
        <v>1</v>
      </c>
      <c r="O434" t="s">
        <v>21</v>
      </c>
      <c r="P434" t="s">
        <v>15</v>
      </c>
      <c r="Q434" s="15">
        <f>Table2[[#This Row],[Discounts]]/Table2[[#This Row],[Gross Sales]]</f>
        <v>0.09</v>
      </c>
    </row>
    <row r="435" spans="1:17" x14ac:dyDescent="0.35">
      <c r="A435" t="s">
        <v>7</v>
      </c>
      <c r="B435" t="s">
        <v>19</v>
      </c>
      <c r="C435" t="s">
        <v>42</v>
      </c>
      <c r="D435" t="s">
        <v>47</v>
      </c>
      <c r="E435" s="9">
        <v>2659</v>
      </c>
      <c r="F435">
        <v>250</v>
      </c>
      <c r="G435">
        <v>300</v>
      </c>
      <c r="H435" s="9">
        <v>797700</v>
      </c>
      <c r="I435" s="9">
        <v>71793</v>
      </c>
      <c r="J435" s="9">
        <v>725907</v>
      </c>
      <c r="K435" s="9">
        <v>664750</v>
      </c>
      <c r="L435" s="9">
        <v>61157</v>
      </c>
      <c r="M435" s="10">
        <v>41671</v>
      </c>
      <c r="N435">
        <v>2</v>
      </c>
      <c r="O435" t="s">
        <v>22</v>
      </c>
      <c r="P435" t="s">
        <v>15</v>
      </c>
      <c r="Q435" s="15">
        <f>Table2[[#This Row],[Discounts]]/Table2[[#This Row],[Gross Sales]]</f>
        <v>0.09</v>
      </c>
    </row>
    <row r="436" spans="1:17" x14ac:dyDescent="0.35">
      <c r="A436" t="s">
        <v>10</v>
      </c>
      <c r="B436" t="s">
        <v>92</v>
      </c>
      <c r="C436" t="s">
        <v>42</v>
      </c>
      <c r="D436" t="s">
        <v>47</v>
      </c>
      <c r="E436" s="9">
        <v>1351.5</v>
      </c>
      <c r="F436">
        <v>250</v>
      </c>
      <c r="G436">
        <v>350</v>
      </c>
      <c r="H436" s="9">
        <v>473025</v>
      </c>
      <c r="I436" s="9">
        <v>42572.25</v>
      </c>
      <c r="J436" s="9">
        <v>430452.75</v>
      </c>
      <c r="K436" s="9">
        <v>351390</v>
      </c>
      <c r="L436" s="9">
        <v>79062.75</v>
      </c>
      <c r="M436" s="10">
        <v>41730</v>
      </c>
      <c r="N436">
        <v>4</v>
      </c>
      <c r="O436" t="s">
        <v>24</v>
      </c>
      <c r="P436" t="s">
        <v>15</v>
      </c>
      <c r="Q436" s="15">
        <f>Table2[[#This Row],[Discounts]]/Table2[[#This Row],[Gross Sales]]</f>
        <v>0.09</v>
      </c>
    </row>
    <row r="437" spans="1:17" x14ac:dyDescent="0.35">
      <c r="A437" t="s">
        <v>11</v>
      </c>
      <c r="B437" t="s">
        <v>19</v>
      </c>
      <c r="C437" t="s">
        <v>42</v>
      </c>
      <c r="D437" t="s">
        <v>47</v>
      </c>
      <c r="E437" s="9">
        <v>880</v>
      </c>
      <c r="F437">
        <v>250</v>
      </c>
      <c r="G437">
        <v>12</v>
      </c>
      <c r="H437" s="9">
        <v>10560</v>
      </c>
      <c r="I437" s="9">
        <v>950.4</v>
      </c>
      <c r="J437" s="9">
        <v>9609.6</v>
      </c>
      <c r="K437" s="9">
        <v>2640</v>
      </c>
      <c r="L437" s="9">
        <v>6969.6</v>
      </c>
      <c r="M437" s="10">
        <v>41760</v>
      </c>
      <c r="N437">
        <v>5</v>
      </c>
      <c r="O437" t="s">
        <v>25</v>
      </c>
      <c r="P437" t="s">
        <v>15</v>
      </c>
      <c r="Q437" s="15">
        <f>Table2[[#This Row],[Discounts]]/Table2[[#This Row],[Gross Sales]]</f>
        <v>0.09</v>
      </c>
    </row>
    <row r="438" spans="1:17" x14ac:dyDescent="0.35">
      <c r="A438" t="s">
        <v>7</v>
      </c>
      <c r="B438" t="s">
        <v>92</v>
      </c>
      <c r="C438" t="s">
        <v>42</v>
      </c>
      <c r="D438" t="s">
        <v>47</v>
      </c>
      <c r="E438" s="9">
        <v>1867</v>
      </c>
      <c r="F438">
        <v>250</v>
      </c>
      <c r="G438">
        <v>300</v>
      </c>
      <c r="H438" s="9">
        <v>560100</v>
      </c>
      <c r="I438" s="9">
        <v>50409</v>
      </c>
      <c r="J438" s="9">
        <v>509691</v>
      </c>
      <c r="K438" s="9">
        <v>466750</v>
      </c>
      <c r="L438" s="9">
        <v>42941</v>
      </c>
      <c r="M438" s="10">
        <v>41883</v>
      </c>
      <c r="N438">
        <v>9</v>
      </c>
      <c r="O438" t="s">
        <v>29</v>
      </c>
      <c r="P438" t="s">
        <v>15</v>
      </c>
      <c r="Q438" s="15">
        <f>Table2[[#This Row],[Discounts]]/Table2[[#This Row],[Gross Sales]]</f>
        <v>0.09</v>
      </c>
    </row>
    <row r="439" spans="1:17" x14ac:dyDescent="0.35">
      <c r="A439" t="s">
        <v>11</v>
      </c>
      <c r="B439" t="s">
        <v>18</v>
      </c>
      <c r="C439" t="s">
        <v>42</v>
      </c>
      <c r="D439" t="s">
        <v>47</v>
      </c>
      <c r="E439" s="9">
        <v>2234</v>
      </c>
      <c r="F439">
        <v>250</v>
      </c>
      <c r="G439">
        <v>12</v>
      </c>
      <c r="H439" s="9">
        <v>26808</v>
      </c>
      <c r="I439" s="9">
        <v>2412.7199999999998</v>
      </c>
      <c r="J439" s="9">
        <v>24395.279999999999</v>
      </c>
      <c r="K439" s="9">
        <v>6702</v>
      </c>
      <c r="L439" s="9">
        <v>17693.28</v>
      </c>
      <c r="M439" s="10">
        <v>41518</v>
      </c>
      <c r="N439">
        <v>9</v>
      </c>
      <c r="O439" t="s">
        <v>29</v>
      </c>
      <c r="P439" t="s">
        <v>14</v>
      </c>
      <c r="Q439" s="15">
        <f>Table2[[#This Row],[Discounts]]/Table2[[#This Row],[Gross Sales]]</f>
        <v>0.09</v>
      </c>
    </row>
    <row r="440" spans="1:17" x14ac:dyDescent="0.35">
      <c r="A440" t="s">
        <v>8</v>
      </c>
      <c r="B440" t="s">
        <v>18</v>
      </c>
      <c r="C440" t="s">
        <v>42</v>
      </c>
      <c r="D440" t="s">
        <v>47</v>
      </c>
      <c r="E440" s="9">
        <v>1227</v>
      </c>
      <c r="F440">
        <v>250</v>
      </c>
      <c r="G440">
        <v>15</v>
      </c>
      <c r="H440" s="9">
        <v>18405</v>
      </c>
      <c r="I440" s="9">
        <v>1656.45</v>
      </c>
      <c r="J440" s="9">
        <v>16748.55</v>
      </c>
      <c r="K440" s="9">
        <v>12270</v>
      </c>
      <c r="L440" s="9">
        <v>4478.5499999999993</v>
      </c>
      <c r="M440" s="10">
        <v>41913</v>
      </c>
      <c r="N440">
        <v>10</v>
      </c>
      <c r="O440" t="s">
        <v>30</v>
      </c>
      <c r="P440" t="s">
        <v>15</v>
      </c>
      <c r="Q440" s="15">
        <f>Table2[[#This Row],[Discounts]]/Table2[[#This Row],[Gross Sales]]</f>
        <v>0.09</v>
      </c>
    </row>
    <row r="441" spans="1:17" x14ac:dyDescent="0.35">
      <c r="A441" t="s">
        <v>9</v>
      </c>
      <c r="B441" t="s">
        <v>20</v>
      </c>
      <c r="C441" t="s">
        <v>42</v>
      </c>
      <c r="D441" t="s">
        <v>47</v>
      </c>
      <c r="E441" s="9">
        <v>877</v>
      </c>
      <c r="F441">
        <v>250</v>
      </c>
      <c r="G441">
        <v>125</v>
      </c>
      <c r="H441" s="9">
        <v>109625</v>
      </c>
      <c r="I441" s="9">
        <v>9866.25</v>
      </c>
      <c r="J441" s="9">
        <v>99758.75</v>
      </c>
      <c r="K441" s="9">
        <v>105240</v>
      </c>
      <c r="L441" s="9">
        <v>-5481.25</v>
      </c>
      <c r="M441" s="10">
        <v>41944</v>
      </c>
      <c r="N441">
        <v>11</v>
      </c>
      <c r="O441" t="s">
        <v>31</v>
      </c>
      <c r="P441" t="s">
        <v>15</v>
      </c>
      <c r="Q441" s="15">
        <f>Table2[[#This Row],[Discounts]]/Table2[[#This Row],[Gross Sales]]</f>
        <v>0.09</v>
      </c>
    </row>
    <row r="442" spans="1:17" x14ac:dyDescent="0.35">
      <c r="A442" t="s">
        <v>10</v>
      </c>
      <c r="B442" t="s">
        <v>92</v>
      </c>
      <c r="C442" t="s">
        <v>43</v>
      </c>
      <c r="D442" t="s">
        <v>47</v>
      </c>
      <c r="E442" s="9">
        <v>2071</v>
      </c>
      <c r="F442">
        <v>260</v>
      </c>
      <c r="G442">
        <v>350</v>
      </c>
      <c r="H442" s="9">
        <v>724850</v>
      </c>
      <c r="I442" s="9">
        <v>65236.5</v>
      </c>
      <c r="J442" s="9">
        <v>659613.5</v>
      </c>
      <c r="K442" s="9">
        <v>538460</v>
      </c>
      <c r="L442" s="9">
        <v>121153.5</v>
      </c>
      <c r="M442" s="10">
        <v>41883</v>
      </c>
      <c r="N442">
        <v>9</v>
      </c>
      <c r="O442" t="s">
        <v>29</v>
      </c>
      <c r="P442" t="s">
        <v>15</v>
      </c>
      <c r="Q442" s="15">
        <f>Table2[[#This Row],[Discounts]]/Table2[[#This Row],[Gross Sales]]</f>
        <v>0.09</v>
      </c>
    </row>
    <row r="443" spans="1:17" x14ac:dyDescent="0.35">
      <c r="A443" t="s">
        <v>10</v>
      </c>
      <c r="B443" t="s">
        <v>16</v>
      </c>
      <c r="C443" t="s">
        <v>43</v>
      </c>
      <c r="D443" t="s">
        <v>47</v>
      </c>
      <c r="E443" s="9">
        <v>1269</v>
      </c>
      <c r="F443">
        <v>260</v>
      </c>
      <c r="G443">
        <v>350</v>
      </c>
      <c r="H443" s="9">
        <v>444150</v>
      </c>
      <c r="I443" s="9">
        <v>39973.5</v>
      </c>
      <c r="J443" s="9">
        <v>404176.5</v>
      </c>
      <c r="K443" s="9">
        <v>329940</v>
      </c>
      <c r="L443" s="9">
        <v>74236.5</v>
      </c>
      <c r="M443" s="10">
        <v>41913</v>
      </c>
      <c r="N443">
        <v>10</v>
      </c>
      <c r="O443" t="s">
        <v>30</v>
      </c>
      <c r="P443" t="s">
        <v>15</v>
      </c>
      <c r="Q443" s="15">
        <f>Table2[[#This Row],[Discounts]]/Table2[[#This Row],[Gross Sales]]</f>
        <v>0.09</v>
      </c>
    </row>
    <row r="444" spans="1:17" x14ac:dyDescent="0.35">
      <c r="A444" t="s">
        <v>8</v>
      </c>
      <c r="B444" t="s">
        <v>19</v>
      </c>
      <c r="C444" t="s">
        <v>43</v>
      </c>
      <c r="D444" t="s">
        <v>47</v>
      </c>
      <c r="E444" s="9">
        <v>970</v>
      </c>
      <c r="F444">
        <v>260</v>
      </c>
      <c r="G444">
        <v>15</v>
      </c>
      <c r="H444" s="9">
        <v>14550</v>
      </c>
      <c r="I444" s="9">
        <v>1309.5</v>
      </c>
      <c r="J444" s="9">
        <v>13240.5</v>
      </c>
      <c r="K444" s="9">
        <v>9700</v>
      </c>
      <c r="L444" s="9">
        <v>3540.5</v>
      </c>
      <c r="M444" s="10">
        <v>41579</v>
      </c>
      <c r="N444">
        <v>11</v>
      </c>
      <c r="O444" t="s">
        <v>31</v>
      </c>
      <c r="P444" t="s">
        <v>14</v>
      </c>
      <c r="Q444" s="15">
        <f>Table2[[#This Row],[Discounts]]/Table2[[#This Row],[Gross Sales]]</f>
        <v>0.09</v>
      </c>
    </row>
    <row r="445" spans="1:17" x14ac:dyDescent="0.35">
      <c r="A445" t="s">
        <v>10</v>
      </c>
      <c r="B445" t="s">
        <v>20</v>
      </c>
      <c r="C445" t="s">
        <v>43</v>
      </c>
      <c r="D445" t="s">
        <v>47</v>
      </c>
      <c r="E445" s="9">
        <v>1694</v>
      </c>
      <c r="F445">
        <v>260</v>
      </c>
      <c r="G445">
        <v>20</v>
      </c>
      <c r="H445" s="9">
        <v>33880</v>
      </c>
      <c r="I445" s="9">
        <v>3049.2</v>
      </c>
      <c r="J445" s="9">
        <v>30830.799999999999</v>
      </c>
      <c r="K445" s="9">
        <v>16940</v>
      </c>
      <c r="L445" s="9">
        <v>13890.8</v>
      </c>
      <c r="M445" s="10">
        <v>41944</v>
      </c>
      <c r="N445">
        <v>11</v>
      </c>
      <c r="O445" t="s">
        <v>31</v>
      </c>
      <c r="P445" t="s">
        <v>15</v>
      </c>
      <c r="Q445" s="15">
        <f>Table2[[#This Row],[Discounts]]/Table2[[#This Row],[Gross Sales]]</f>
        <v>0.09</v>
      </c>
    </row>
    <row r="446" spans="1:17" x14ac:dyDescent="0.35">
      <c r="A446" t="s">
        <v>10</v>
      </c>
      <c r="B446" t="s">
        <v>19</v>
      </c>
      <c r="C446" t="s">
        <v>38</v>
      </c>
      <c r="D446" t="s">
        <v>47</v>
      </c>
      <c r="E446" s="9">
        <v>663</v>
      </c>
      <c r="F446">
        <v>3</v>
      </c>
      <c r="G446">
        <v>20</v>
      </c>
      <c r="H446" s="9">
        <v>13260</v>
      </c>
      <c r="I446" s="9">
        <v>1193.4000000000001</v>
      </c>
      <c r="J446" s="9">
        <v>12066.6</v>
      </c>
      <c r="K446" s="9">
        <v>6630</v>
      </c>
      <c r="L446" s="9">
        <v>5436.6</v>
      </c>
      <c r="M446" s="10">
        <v>41760</v>
      </c>
      <c r="N446">
        <v>5</v>
      </c>
      <c r="O446" t="s">
        <v>25</v>
      </c>
      <c r="P446" t="s">
        <v>15</v>
      </c>
      <c r="Q446" s="15">
        <f>Table2[[#This Row],[Discounts]]/Table2[[#This Row],[Gross Sales]]</f>
        <v>9.0000000000000011E-2</v>
      </c>
    </row>
    <row r="447" spans="1:17" x14ac:dyDescent="0.35">
      <c r="A447" t="s">
        <v>10</v>
      </c>
      <c r="B447" t="s">
        <v>16</v>
      </c>
      <c r="C447" t="s">
        <v>38</v>
      </c>
      <c r="D447" t="s">
        <v>47</v>
      </c>
      <c r="E447" s="9">
        <v>819</v>
      </c>
      <c r="F447">
        <v>3</v>
      </c>
      <c r="G447">
        <v>7</v>
      </c>
      <c r="H447" s="9">
        <v>5733</v>
      </c>
      <c r="I447" s="9">
        <v>515.97</v>
      </c>
      <c r="J447" s="9">
        <v>5217.03</v>
      </c>
      <c r="K447" s="9">
        <v>4095</v>
      </c>
      <c r="L447" s="9">
        <v>1122.03</v>
      </c>
      <c r="M447" s="10">
        <v>41821</v>
      </c>
      <c r="N447">
        <v>7</v>
      </c>
      <c r="O447" t="s">
        <v>27</v>
      </c>
      <c r="P447" t="s">
        <v>15</v>
      </c>
      <c r="Q447" s="15">
        <f>Table2[[#This Row],[Discounts]]/Table2[[#This Row],[Gross Sales]]</f>
        <v>9.0000000000000011E-2</v>
      </c>
    </row>
    <row r="448" spans="1:17" x14ac:dyDescent="0.35">
      <c r="A448" t="s">
        <v>11</v>
      </c>
      <c r="B448" t="s">
        <v>19</v>
      </c>
      <c r="C448" t="s">
        <v>38</v>
      </c>
      <c r="D448" t="s">
        <v>47</v>
      </c>
      <c r="E448" s="9">
        <v>1580</v>
      </c>
      <c r="F448">
        <v>3</v>
      </c>
      <c r="G448">
        <v>12</v>
      </c>
      <c r="H448" s="9">
        <v>18960</v>
      </c>
      <c r="I448" s="9">
        <v>1706.4</v>
      </c>
      <c r="J448" s="9">
        <v>17253.599999999999</v>
      </c>
      <c r="K448" s="9">
        <v>4740</v>
      </c>
      <c r="L448" s="9">
        <v>12513.599999999999</v>
      </c>
      <c r="M448" s="10">
        <v>41883</v>
      </c>
      <c r="N448">
        <v>9</v>
      </c>
      <c r="O448" t="s">
        <v>29</v>
      </c>
      <c r="P448" t="s">
        <v>15</v>
      </c>
      <c r="Q448" s="15">
        <f>Table2[[#This Row],[Discounts]]/Table2[[#This Row],[Gross Sales]]</f>
        <v>9.0000000000000011E-2</v>
      </c>
    </row>
    <row r="449" spans="1:17" x14ac:dyDescent="0.35">
      <c r="A449" t="s">
        <v>10</v>
      </c>
      <c r="B449" t="s">
        <v>20</v>
      </c>
      <c r="C449" t="s">
        <v>38</v>
      </c>
      <c r="D449" t="s">
        <v>47</v>
      </c>
      <c r="E449" s="9">
        <v>521</v>
      </c>
      <c r="F449">
        <v>3</v>
      </c>
      <c r="G449">
        <v>7</v>
      </c>
      <c r="H449" s="9">
        <v>3647</v>
      </c>
      <c r="I449" s="9">
        <v>328.23</v>
      </c>
      <c r="J449" s="9">
        <v>3318.77</v>
      </c>
      <c r="K449" s="9">
        <v>2605</v>
      </c>
      <c r="L449" s="9">
        <v>713.77</v>
      </c>
      <c r="M449" s="10">
        <v>41974</v>
      </c>
      <c r="N449">
        <v>12</v>
      </c>
      <c r="O449" t="s">
        <v>32</v>
      </c>
      <c r="P449" t="s">
        <v>15</v>
      </c>
      <c r="Q449" s="15">
        <f>Table2[[#This Row],[Discounts]]/Table2[[#This Row],[Gross Sales]]</f>
        <v>9.0000000000000011E-2</v>
      </c>
    </row>
    <row r="450" spans="1:17" x14ac:dyDescent="0.35">
      <c r="A450" t="s">
        <v>10</v>
      </c>
      <c r="B450" t="s">
        <v>92</v>
      </c>
      <c r="C450" t="s">
        <v>40</v>
      </c>
      <c r="D450" t="s">
        <v>47</v>
      </c>
      <c r="E450" s="9">
        <v>973</v>
      </c>
      <c r="F450">
        <v>10</v>
      </c>
      <c r="G450">
        <v>20</v>
      </c>
      <c r="H450" s="9">
        <v>19460</v>
      </c>
      <c r="I450" s="9">
        <v>1751.4</v>
      </c>
      <c r="J450" s="9">
        <v>17708.599999999999</v>
      </c>
      <c r="K450" s="9">
        <v>9730</v>
      </c>
      <c r="L450" s="9">
        <v>7978.5999999999985</v>
      </c>
      <c r="M450" s="10">
        <v>41699</v>
      </c>
      <c r="N450">
        <v>3</v>
      </c>
      <c r="O450" t="s">
        <v>23</v>
      </c>
      <c r="P450" t="s">
        <v>15</v>
      </c>
      <c r="Q450" s="15">
        <f>Table2[[#This Row],[Discounts]]/Table2[[#This Row],[Gross Sales]]</f>
        <v>9.0000000000000011E-2</v>
      </c>
    </row>
    <row r="451" spans="1:17" x14ac:dyDescent="0.35">
      <c r="A451" t="s">
        <v>10</v>
      </c>
      <c r="B451" t="s">
        <v>20</v>
      </c>
      <c r="C451" t="s">
        <v>40</v>
      </c>
      <c r="D451" t="s">
        <v>47</v>
      </c>
      <c r="E451" s="9">
        <v>1038</v>
      </c>
      <c r="F451">
        <v>10</v>
      </c>
      <c r="G451">
        <v>20</v>
      </c>
      <c r="H451" s="9">
        <v>20760</v>
      </c>
      <c r="I451" s="9">
        <v>1868.4</v>
      </c>
      <c r="J451" s="9">
        <v>18891.599999999999</v>
      </c>
      <c r="K451" s="9">
        <v>10380</v>
      </c>
      <c r="L451" s="9">
        <v>8511.5999999999985</v>
      </c>
      <c r="M451" s="10">
        <v>41791</v>
      </c>
      <c r="N451">
        <v>6</v>
      </c>
      <c r="O451" t="s">
        <v>26</v>
      </c>
      <c r="P451" t="s">
        <v>15</v>
      </c>
      <c r="Q451" s="15">
        <f>Table2[[#This Row],[Discounts]]/Table2[[#This Row],[Gross Sales]]</f>
        <v>9.0000000000000011E-2</v>
      </c>
    </row>
    <row r="452" spans="1:17" x14ac:dyDescent="0.35">
      <c r="A452" t="s">
        <v>10</v>
      </c>
      <c r="B452" t="s">
        <v>19</v>
      </c>
      <c r="C452" t="s">
        <v>40</v>
      </c>
      <c r="D452" t="s">
        <v>47</v>
      </c>
      <c r="E452" s="9">
        <v>360</v>
      </c>
      <c r="F452">
        <v>10</v>
      </c>
      <c r="G452">
        <v>7</v>
      </c>
      <c r="H452" s="9">
        <v>2520</v>
      </c>
      <c r="I452" s="9">
        <v>226.8</v>
      </c>
      <c r="J452" s="9">
        <v>2293.1999999999998</v>
      </c>
      <c r="K452" s="9">
        <v>1800</v>
      </c>
      <c r="L452" s="9">
        <v>493.19999999999982</v>
      </c>
      <c r="M452" s="10">
        <v>41913</v>
      </c>
      <c r="N452">
        <v>10</v>
      </c>
      <c r="O452" t="s">
        <v>30</v>
      </c>
      <c r="P452" t="s">
        <v>15</v>
      </c>
      <c r="Q452" s="15">
        <f>Table2[[#This Row],[Discounts]]/Table2[[#This Row],[Gross Sales]]</f>
        <v>9.0000000000000011E-2</v>
      </c>
    </row>
    <row r="453" spans="1:17" x14ac:dyDescent="0.35">
      <c r="A453" t="s">
        <v>11</v>
      </c>
      <c r="B453" t="s">
        <v>18</v>
      </c>
      <c r="C453" t="s">
        <v>41</v>
      </c>
      <c r="D453" t="s">
        <v>47</v>
      </c>
      <c r="E453" s="9">
        <v>1967</v>
      </c>
      <c r="F453">
        <v>120</v>
      </c>
      <c r="G453">
        <v>12</v>
      </c>
      <c r="H453" s="9">
        <v>23604</v>
      </c>
      <c r="I453" s="9">
        <v>2124.36</v>
      </c>
      <c r="J453" s="9">
        <v>21479.64</v>
      </c>
      <c r="K453" s="9">
        <v>5901</v>
      </c>
      <c r="L453" s="9">
        <v>15578.64</v>
      </c>
      <c r="M453" s="10">
        <v>41699</v>
      </c>
      <c r="N453">
        <v>3</v>
      </c>
      <c r="O453" t="s">
        <v>23</v>
      </c>
      <c r="P453" t="s">
        <v>15</v>
      </c>
      <c r="Q453" s="15">
        <f>Table2[[#This Row],[Discounts]]/Table2[[#This Row],[Gross Sales]]</f>
        <v>9.0000000000000011E-2</v>
      </c>
    </row>
    <row r="454" spans="1:17" x14ac:dyDescent="0.35">
      <c r="A454" t="s">
        <v>8</v>
      </c>
      <c r="B454" t="s">
        <v>20</v>
      </c>
      <c r="C454" t="s">
        <v>41</v>
      </c>
      <c r="D454" t="s">
        <v>47</v>
      </c>
      <c r="E454" s="9">
        <v>2628</v>
      </c>
      <c r="F454">
        <v>120</v>
      </c>
      <c r="G454">
        <v>15</v>
      </c>
      <c r="H454" s="9">
        <v>39420</v>
      </c>
      <c r="I454" s="9">
        <v>3547.8</v>
      </c>
      <c r="J454" s="9">
        <v>35872.199999999997</v>
      </c>
      <c r="K454" s="9">
        <v>26280</v>
      </c>
      <c r="L454" s="9">
        <v>9592.1999999999971</v>
      </c>
      <c r="M454" s="10">
        <v>41730</v>
      </c>
      <c r="N454">
        <v>4</v>
      </c>
      <c r="O454" t="s">
        <v>24</v>
      </c>
      <c r="P454" t="s">
        <v>15</v>
      </c>
      <c r="Q454" s="15">
        <f>Table2[[#This Row],[Discounts]]/Table2[[#This Row],[Gross Sales]]</f>
        <v>9.0000000000000011E-2</v>
      </c>
    </row>
    <row r="455" spans="1:17" x14ac:dyDescent="0.35">
      <c r="A455" t="s">
        <v>10</v>
      </c>
      <c r="B455" t="s">
        <v>19</v>
      </c>
      <c r="C455" t="s">
        <v>42</v>
      </c>
      <c r="D455" t="s">
        <v>47</v>
      </c>
      <c r="E455" s="9">
        <v>360</v>
      </c>
      <c r="F455">
        <v>250</v>
      </c>
      <c r="G455">
        <v>7</v>
      </c>
      <c r="H455" s="9">
        <v>2520</v>
      </c>
      <c r="I455" s="9">
        <v>226.8</v>
      </c>
      <c r="J455" s="9">
        <v>2293.1999999999998</v>
      </c>
      <c r="K455" s="9">
        <v>1800</v>
      </c>
      <c r="L455" s="9">
        <v>493.19999999999982</v>
      </c>
      <c r="M455" s="10">
        <v>41913</v>
      </c>
      <c r="N455">
        <v>10</v>
      </c>
      <c r="O455" t="s">
        <v>30</v>
      </c>
      <c r="P455" t="s">
        <v>15</v>
      </c>
      <c r="Q455" s="15">
        <f>Table2[[#This Row],[Discounts]]/Table2[[#This Row],[Gross Sales]]</f>
        <v>9.0000000000000011E-2</v>
      </c>
    </row>
    <row r="456" spans="1:17" x14ac:dyDescent="0.35">
      <c r="A456" t="s">
        <v>10</v>
      </c>
      <c r="B456" t="s">
        <v>18</v>
      </c>
      <c r="C456" t="s">
        <v>42</v>
      </c>
      <c r="D456" t="s">
        <v>47</v>
      </c>
      <c r="E456" s="9">
        <v>2682</v>
      </c>
      <c r="F456">
        <v>250</v>
      </c>
      <c r="G456">
        <v>20</v>
      </c>
      <c r="H456" s="9">
        <v>53640</v>
      </c>
      <c r="I456" s="9">
        <v>4827.6000000000004</v>
      </c>
      <c r="J456" s="9">
        <v>48812.4</v>
      </c>
      <c r="K456" s="9">
        <v>26820</v>
      </c>
      <c r="L456" s="9">
        <v>21992.400000000001</v>
      </c>
      <c r="M456" s="10">
        <v>41579</v>
      </c>
      <c r="N456">
        <v>11</v>
      </c>
      <c r="O456" t="s">
        <v>31</v>
      </c>
      <c r="P456" t="s">
        <v>14</v>
      </c>
      <c r="Q456" s="15">
        <f>Table2[[#This Row],[Discounts]]/Table2[[#This Row],[Gross Sales]]</f>
        <v>9.0000000000000011E-2</v>
      </c>
    </row>
    <row r="457" spans="1:17" x14ac:dyDescent="0.35">
      <c r="A457" t="s">
        <v>10</v>
      </c>
      <c r="B457" t="s">
        <v>20</v>
      </c>
      <c r="C457" t="s">
        <v>42</v>
      </c>
      <c r="D457" t="s">
        <v>47</v>
      </c>
      <c r="E457" s="9">
        <v>521</v>
      </c>
      <c r="F457">
        <v>250</v>
      </c>
      <c r="G457">
        <v>7</v>
      </c>
      <c r="H457" s="9">
        <v>3647</v>
      </c>
      <c r="I457" s="9">
        <v>328.23</v>
      </c>
      <c r="J457" s="9">
        <v>3318.77</v>
      </c>
      <c r="K457" s="9">
        <v>2605</v>
      </c>
      <c r="L457" s="9">
        <v>713.77</v>
      </c>
      <c r="M457" s="10">
        <v>41974</v>
      </c>
      <c r="N457">
        <v>12</v>
      </c>
      <c r="O457" t="s">
        <v>32</v>
      </c>
      <c r="P457" t="s">
        <v>15</v>
      </c>
      <c r="Q457" s="15">
        <f>Table2[[#This Row],[Discounts]]/Table2[[#This Row],[Gross Sales]]</f>
        <v>9.0000000000000011E-2</v>
      </c>
    </row>
    <row r="458" spans="1:17" x14ac:dyDescent="0.35">
      <c r="A458" t="s">
        <v>10</v>
      </c>
      <c r="B458" t="s">
        <v>20</v>
      </c>
      <c r="C458" t="s">
        <v>43</v>
      </c>
      <c r="D458" t="s">
        <v>47</v>
      </c>
      <c r="E458" s="9">
        <v>1038</v>
      </c>
      <c r="F458">
        <v>260</v>
      </c>
      <c r="G458">
        <v>20</v>
      </c>
      <c r="H458" s="9">
        <v>20760</v>
      </c>
      <c r="I458" s="9">
        <v>1868.4</v>
      </c>
      <c r="J458" s="9">
        <v>18891.599999999999</v>
      </c>
      <c r="K458" s="9">
        <v>10380</v>
      </c>
      <c r="L458" s="9">
        <v>8511.5999999999985</v>
      </c>
      <c r="M458" s="10">
        <v>41791</v>
      </c>
      <c r="N458">
        <v>6</v>
      </c>
      <c r="O458" t="s">
        <v>26</v>
      </c>
      <c r="P458" t="s">
        <v>15</v>
      </c>
      <c r="Q458" s="15">
        <f>Table2[[#This Row],[Discounts]]/Table2[[#This Row],[Gross Sales]]</f>
        <v>9.0000000000000011E-2</v>
      </c>
    </row>
    <row r="459" spans="1:17" x14ac:dyDescent="0.35">
      <c r="A459" t="s">
        <v>8</v>
      </c>
      <c r="B459" t="s">
        <v>16</v>
      </c>
      <c r="C459" t="s">
        <v>43</v>
      </c>
      <c r="D459" t="s">
        <v>47</v>
      </c>
      <c r="E459" s="9">
        <v>1630.5</v>
      </c>
      <c r="F459">
        <v>260</v>
      </c>
      <c r="G459">
        <v>15</v>
      </c>
      <c r="H459" s="9">
        <v>24457.5</v>
      </c>
      <c r="I459" s="9">
        <v>2201.1750000000002</v>
      </c>
      <c r="J459" s="9">
        <v>22256.324999999997</v>
      </c>
      <c r="K459" s="9">
        <v>16305</v>
      </c>
      <c r="L459" s="9">
        <v>5951.3249999999989</v>
      </c>
      <c r="M459" s="10">
        <v>41821</v>
      </c>
      <c r="N459">
        <v>7</v>
      </c>
      <c r="O459" t="s">
        <v>27</v>
      </c>
      <c r="P459" t="s">
        <v>15</v>
      </c>
      <c r="Q459" s="15">
        <f>Table2[[#This Row],[Discounts]]/Table2[[#This Row],[Gross Sales]]</f>
        <v>9.0000000000000011E-2</v>
      </c>
    </row>
    <row r="460" spans="1:17" x14ac:dyDescent="0.35">
      <c r="A460" t="s">
        <v>11</v>
      </c>
      <c r="B460" t="s">
        <v>18</v>
      </c>
      <c r="C460" t="s">
        <v>43</v>
      </c>
      <c r="D460" t="s">
        <v>47</v>
      </c>
      <c r="E460" s="9">
        <v>306</v>
      </c>
      <c r="F460">
        <v>260</v>
      </c>
      <c r="G460">
        <v>12</v>
      </c>
      <c r="H460" s="9">
        <v>3672</v>
      </c>
      <c r="I460" s="9">
        <v>330.48</v>
      </c>
      <c r="J460" s="9">
        <v>3341.52</v>
      </c>
      <c r="K460" s="9">
        <v>918</v>
      </c>
      <c r="L460" s="9">
        <v>2423.52</v>
      </c>
      <c r="M460" s="10">
        <v>41609</v>
      </c>
      <c r="N460">
        <v>12</v>
      </c>
      <c r="O460" t="s">
        <v>32</v>
      </c>
      <c r="P460" t="s">
        <v>14</v>
      </c>
      <c r="Q460" s="15">
        <f>Table2[[#This Row],[Discounts]]/Table2[[#This Row],[Gross Sales]]</f>
        <v>9.0000000000000011E-2</v>
      </c>
    </row>
    <row r="461" spans="1:17" x14ac:dyDescent="0.35">
      <c r="A461" t="s">
        <v>11</v>
      </c>
      <c r="B461" t="s">
        <v>92</v>
      </c>
      <c r="C461" t="s">
        <v>38</v>
      </c>
      <c r="D461" t="s">
        <v>48</v>
      </c>
      <c r="E461" s="9">
        <v>386</v>
      </c>
      <c r="F461">
        <v>3</v>
      </c>
      <c r="G461">
        <v>12</v>
      </c>
      <c r="H461" s="9">
        <v>4632</v>
      </c>
      <c r="I461" s="9">
        <v>463.2</v>
      </c>
      <c r="J461" s="9">
        <v>4168.8</v>
      </c>
      <c r="K461" s="9">
        <v>1158</v>
      </c>
      <c r="L461" s="9">
        <v>3010.8</v>
      </c>
      <c r="M461" s="10">
        <v>41548</v>
      </c>
      <c r="N461">
        <v>10</v>
      </c>
      <c r="O461" t="s">
        <v>30</v>
      </c>
      <c r="P461" t="s">
        <v>14</v>
      </c>
      <c r="Q461" s="15">
        <f>Table2[[#This Row],[Discounts]]/Table2[[#This Row],[Gross Sales]]</f>
        <v>9.9999999999999992E-2</v>
      </c>
    </row>
    <row r="462" spans="1:17" x14ac:dyDescent="0.35">
      <c r="A462" t="s">
        <v>10</v>
      </c>
      <c r="B462" t="s">
        <v>92</v>
      </c>
      <c r="C462" t="s">
        <v>39</v>
      </c>
      <c r="D462" t="s">
        <v>48</v>
      </c>
      <c r="E462" s="9">
        <v>2328</v>
      </c>
      <c r="F462">
        <v>5</v>
      </c>
      <c r="G462">
        <v>7</v>
      </c>
      <c r="H462" s="9">
        <v>16296</v>
      </c>
      <c r="I462" s="9">
        <v>1629.6</v>
      </c>
      <c r="J462" s="9">
        <v>14666.4</v>
      </c>
      <c r="K462" s="9">
        <v>11640</v>
      </c>
      <c r="L462" s="9">
        <v>3026.3999999999996</v>
      </c>
      <c r="M462" s="10">
        <v>41883</v>
      </c>
      <c r="N462">
        <v>9</v>
      </c>
      <c r="O462" t="s">
        <v>29</v>
      </c>
      <c r="P462" t="s">
        <v>15</v>
      </c>
      <c r="Q462" s="15">
        <f>Table2[[#This Row],[Discounts]]/Table2[[#This Row],[Gross Sales]]</f>
        <v>9.9999999999999992E-2</v>
      </c>
    </row>
    <row r="463" spans="1:17" x14ac:dyDescent="0.35">
      <c r="A463" t="s">
        <v>11</v>
      </c>
      <c r="B463" t="s">
        <v>92</v>
      </c>
      <c r="C463" t="s">
        <v>40</v>
      </c>
      <c r="D463" t="s">
        <v>48</v>
      </c>
      <c r="E463" s="9">
        <v>386</v>
      </c>
      <c r="F463">
        <v>10</v>
      </c>
      <c r="G463">
        <v>12</v>
      </c>
      <c r="H463" s="9">
        <v>4632</v>
      </c>
      <c r="I463" s="9">
        <v>463.2</v>
      </c>
      <c r="J463" s="9">
        <v>4168.8</v>
      </c>
      <c r="K463" s="9">
        <v>1158</v>
      </c>
      <c r="L463" s="9">
        <v>3010.8</v>
      </c>
      <c r="M463" s="10">
        <v>41548</v>
      </c>
      <c r="N463">
        <v>10</v>
      </c>
      <c r="O463" t="s">
        <v>30</v>
      </c>
      <c r="P463" t="s">
        <v>14</v>
      </c>
      <c r="Q463" s="15">
        <f>Table2[[#This Row],[Discounts]]/Table2[[#This Row],[Gross Sales]]</f>
        <v>9.9999999999999992E-2</v>
      </c>
    </row>
    <row r="464" spans="1:17" x14ac:dyDescent="0.35">
      <c r="A464" t="s">
        <v>9</v>
      </c>
      <c r="B464" t="s">
        <v>92</v>
      </c>
      <c r="C464" t="s">
        <v>38</v>
      </c>
      <c r="D464" t="s">
        <v>48</v>
      </c>
      <c r="E464" s="9">
        <v>3445.5</v>
      </c>
      <c r="F464">
        <v>3</v>
      </c>
      <c r="G464">
        <v>125</v>
      </c>
      <c r="H464" s="9">
        <v>430687.5</v>
      </c>
      <c r="I464" s="9">
        <v>43068.75</v>
      </c>
      <c r="J464" s="9">
        <v>387618.75</v>
      </c>
      <c r="K464" s="9">
        <v>413460</v>
      </c>
      <c r="L464" s="9">
        <v>-25841.25</v>
      </c>
      <c r="M464" s="10">
        <v>41730</v>
      </c>
      <c r="N464">
        <v>4</v>
      </c>
      <c r="O464" t="s">
        <v>24</v>
      </c>
      <c r="P464" t="s">
        <v>15</v>
      </c>
      <c r="Q464" s="15">
        <f>Table2[[#This Row],[Discounts]]/Table2[[#This Row],[Gross Sales]]</f>
        <v>0.1</v>
      </c>
    </row>
    <row r="465" spans="1:17" x14ac:dyDescent="0.35">
      <c r="A465" t="s">
        <v>9</v>
      </c>
      <c r="B465" t="s">
        <v>18</v>
      </c>
      <c r="C465" t="s">
        <v>38</v>
      </c>
      <c r="D465" t="s">
        <v>48</v>
      </c>
      <c r="E465" s="9">
        <v>1482</v>
      </c>
      <c r="F465">
        <v>3</v>
      </c>
      <c r="G465">
        <v>125</v>
      </c>
      <c r="H465" s="9">
        <v>185250</v>
      </c>
      <c r="I465" s="9">
        <v>18525</v>
      </c>
      <c r="J465" s="9">
        <v>166725</v>
      </c>
      <c r="K465" s="9">
        <v>177840</v>
      </c>
      <c r="L465" s="9">
        <v>-11115</v>
      </c>
      <c r="M465" s="10">
        <v>41609</v>
      </c>
      <c r="N465">
        <v>12</v>
      </c>
      <c r="O465" t="s">
        <v>32</v>
      </c>
      <c r="P465" t="s">
        <v>14</v>
      </c>
      <c r="Q465" s="15">
        <f>Table2[[#This Row],[Discounts]]/Table2[[#This Row],[Gross Sales]]</f>
        <v>0.1</v>
      </c>
    </row>
    <row r="466" spans="1:17" x14ac:dyDescent="0.35">
      <c r="A466" t="s">
        <v>10</v>
      </c>
      <c r="B466" t="s">
        <v>92</v>
      </c>
      <c r="C466" t="s">
        <v>39</v>
      </c>
      <c r="D466" t="s">
        <v>48</v>
      </c>
      <c r="E466" s="9">
        <v>2313</v>
      </c>
      <c r="F466">
        <v>5</v>
      </c>
      <c r="G466">
        <v>350</v>
      </c>
      <c r="H466" s="9">
        <v>809550</v>
      </c>
      <c r="I466" s="9">
        <v>80955</v>
      </c>
      <c r="J466" s="9">
        <v>728595</v>
      </c>
      <c r="K466" s="9">
        <v>601380</v>
      </c>
      <c r="L466" s="9">
        <v>127215</v>
      </c>
      <c r="M466" s="10">
        <v>41760</v>
      </c>
      <c r="N466">
        <v>5</v>
      </c>
      <c r="O466" t="s">
        <v>25</v>
      </c>
      <c r="P466" t="s">
        <v>15</v>
      </c>
      <c r="Q466" s="15">
        <f>Table2[[#This Row],[Discounts]]/Table2[[#This Row],[Gross Sales]]</f>
        <v>0.1</v>
      </c>
    </row>
    <row r="467" spans="1:17" x14ac:dyDescent="0.35">
      <c r="A467" t="s">
        <v>9</v>
      </c>
      <c r="B467" t="s">
        <v>92</v>
      </c>
      <c r="C467" t="s">
        <v>39</v>
      </c>
      <c r="D467" t="s">
        <v>48</v>
      </c>
      <c r="E467" s="9">
        <v>1804</v>
      </c>
      <c r="F467">
        <v>5</v>
      </c>
      <c r="G467">
        <v>125</v>
      </c>
      <c r="H467" s="9">
        <v>225500</v>
      </c>
      <c r="I467" s="9">
        <v>22550</v>
      </c>
      <c r="J467" s="9">
        <v>202950</v>
      </c>
      <c r="K467" s="9">
        <v>216480</v>
      </c>
      <c r="L467" s="9">
        <v>-13530</v>
      </c>
      <c r="M467" s="10">
        <v>41579</v>
      </c>
      <c r="N467">
        <v>11</v>
      </c>
      <c r="O467" t="s">
        <v>31</v>
      </c>
      <c r="P467" t="s">
        <v>14</v>
      </c>
      <c r="Q467" s="15">
        <f>Table2[[#This Row],[Discounts]]/Table2[[#This Row],[Gross Sales]]</f>
        <v>0.1</v>
      </c>
    </row>
    <row r="468" spans="1:17" x14ac:dyDescent="0.35">
      <c r="A468" t="s">
        <v>8</v>
      </c>
      <c r="B468" t="s">
        <v>18</v>
      </c>
      <c r="C468" t="s">
        <v>39</v>
      </c>
      <c r="D468" t="s">
        <v>48</v>
      </c>
      <c r="E468" s="9">
        <v>2072</v>
      </c>
      <c r="F468">
        <v>5</v>
      </c>
      <c r="G468">
        <v>15</v>
      </c>
      <c r="H468" s="9">
        <v>31080</v>
      </c>
      <c r="I468" s="9">
        <v>3108</v>
      </c>
      <c r="J468" s="9">
        <v>27972</v>
      </c>
      <c r="K468" s="9">
        <v>20720</v>
      </c>
      <c r="L468" s="9">
        <v>7252</v>
      </c>
      <c r="M468" s="10">
        <v>41974</v>
      </c>
      <c r="N468">
        <v>12</v>
      </c>
      <c r="O468" t="s">
        <v>32</v>
      </c>
      <c r="P468" t="s">
        <v>15</v>
      </c>
      <c r="Q468" s="15">
        <f>Table2[[#This Row],[Discounts]]/Table2[[#This Row],[Gross Sales]]</f>
        <v>0.1</v>
      </c>
    </row>
    <row r="469" spans="1:17" x14ac:dyDescent="0.35">
      <c r="A469" t="s">
        <v>10</v>
      </c>
      <c r="B469" t="s">
        <v>18</v>
      </c>
      <c r="C469" t="s">
        <v>40</v>
      </c>
      <c r="D469" t="s">
        <v>48</v>
      </c>
      <c r="E469" s="9">
        <v>1954</v>
      </c>
      <c r="F469">
        <v>10</v>
      </c>
      <c r="G469">
        <v>20</v>
      </c>
      <c r="H469" s="9">
        <v>39080</v>
      </c>
      <c r="I469" s="9">
        <v>3908</v>
      </c>
      <c r="J469" s="9">
        <v>35172</v>
      </c>
      <c r="K469" s="9">
        <v>19540</v>
      </c>
      <c r="L469" s="9">
        <v>15632</v>
      </c>
      <c r="M469" s="10">
        <v>41699</v>
      </c>
      <c r="N469">
        <v>3</v>
      </c>
      <c r="O469" t="s">
        <v>23</v>
      </c>
      <c r="P469" t="s">
        <v>15</v>
      </c>
      <c r="Q469" s="15">
        <f>Table2[[#This Row],[Discounts]]/Table2[[#This Row],[Gross Sales]]</f>
        <v>0.1</v>
      </c>
    </row>
    <row r="470" spans="1:17" x14ac:dyDescent="0.35">
      <c r="A470" t="s">
        <v>7</v>
      </c>
      <c r="B470" t="s">
        <v>20</v>
      </c>
      <c r="C470" t="s">
        <v>40</v>
      </c>
      <c r="D470" t="s">
        <v>48</v>
      </c>
      <c r="E470" s="9">
        <v>591</v>
      </c>
      <c r="F470">
        <v>10</v>
      </c>
      <c r="G470">
        <v>300</v>
      </c>
      <c r="H470" s="9">
        <v>177300</v>
      </c>
      <c r="I470" s="9">
        <v>17730</v>
      </c>
      <c r="J470" s="9">
        <v>159570</v>
      </c>
      <c r="K470" s="9">
        <v>147750</v>
      </c>
      <c r="L470" s="9">
        <v>11820</v>
      </c>
      <c r="M470" s="10">
        <v>41760</v>
      </c>
      <c r="N470">
        <v>5</v>
      </c>
      <c r="O470" t="s">
        <v>25</v>
      </c>
      <c r="P470" t="s">
        <v>15</v>
      </c>
      <c r="Q470" s="15">
        <f>Table2[[#This Row],[Discounts]]/Table2[[#This Row],[Gross Sales]]</f>
        <v>0.1</v>
      </c>
    </row>
    <row r="471" spans="1:17" x14ac:dyDescent="0.35">
      <c r="A471" t="s">
        <v>8</v>
      </c>
      <c r="B471" t="s">
        <v>18</v>
      </c>
      <c r="C471" t="s">
        <v>40</v>
      </c>
      <c r="D471" t="s">
        <v>48</v>
      </c>
      <c r="E471" s="9">
        <v>2167</v>
      </c>
      <c r="F471">
        <v>10</v>
      </c>
      <c r="G471">
        <v>15</v>
      </c>
      <c r="H471" s="9">
        <v>32505</v>
      </c>
      <c r="I471" s="9">
        <v>3250.5</v>
      </c>
      <c r="J471" s="9">
        <v>29254.5</v>
      </c>
      <c r="K471" s="9">
        <v>21670</v>
      </c>
      <c r="L471" s="9">
        <v>7584.5</v>
      </c>
      <c r="M471" s="10">
        <v>41548</v>
      </c>
      <c r="N471">
        <v>10</v>
      </c>
      <c r="O471" t="s">
        <v>30</v>
      </c>
      <c r="P471" t="s">
        <v>14</v>
      </c>
      <c r="Q471" s="15">
        <f>Table2[[#This Row],[Discounts]]/Table2[[#This Row],[Gross Sales]]</f>
        <v>0.1</v>
      </c>
    </row>
    <row r="472" spans="1:17" x14ac:dyDescent="0.35">
      <c r="A472" t="s">
        <v>10</v>
      </c>
      <c r="B472" t="s">
        <v>19</v>
      </c>
      <c r="C472" t="s">
        <v>40</v>
      </c>
      <c r="D472" t="s">
        <v>48</v>
      </c>
      <c r="E472" s="9">
        <v>241</v>
      </c>
      <c r="F472">
        <v>10</v>
      </c>
      <c r="G472">
        <v>20</v>
      </c>
      <c r="H472" s="9">
        <v>4820</v>
      </c>
      <c r="I472" s="9">
        <v>482</v>
      </c>
      <c r="J472" s="9">
        <v>4338</v>
      </c>
      <c r="K472" s="9">
        <v>2410</v>
      </c>
      <c r="L472" s="9">
        <v>1928</v>
      </c>
      <c r="M472" s="10">
        <v>41913</v>
      </c>
      <c r="N472">
        <v>10</v>
      </c>
      <c r="O472" t="s">
        <v>30</v>
      </c>
      <c r="P472" t="s">
        <v>15</v>
      </c>
      <c r="Q472" s="15">
        <f>Table2[[#This Row],[Discounts]]/Table2[[#This Row],[Gross Sales]]</f>
        <v>0.1</v>
      </c>
    </row>
    <row r="473" spans="1:17" x14ac:dyDescent="0.35">
      <c r="A473" t="s">
        <v>8</v>
      </c>
      <c r="B473" t="s">
        <v>19</v>
      </c>
      <c r="C473" t="s">
        <v>41</v>
      </c>
      <c r="D473" t="s">
        <v>48</v>
      </c>
      <c r="E473" s="9">
        <v>681</v>
      </c>
      <c r="F473">
        <v>120</v>
      </c>
      <c r="G473">
        <v>15</v>
      </c>
      <c r="H473" s="9">
        <v>10215</v>
      </c>
      <c r="I473" s="9">
        <v>1021.5</v>
      </c>
      <c r="J473" s="9">
        <v>9193.5</v>
      </c>
      <c r="K473" s="9">
        <v>6810</v>
      </c>
      <c r="L473" s="9">
        <v>2383.5</v>
      </c>
      <c r="M473" s="10">
        <v>41640</v>
      </c>
      <c r="N473">
        <v>1</v>
      </c>
      <c r="O473" t="s">
        <v>21</v>
      </c>
      <c r="P473" t="s">
        <v>15</v>
      </c>
      <c r="Q473" s="15">
        <f>Table2[[#This Row],[Discounts]]/Table2[[#This Row],[Gross Sales]]</f>
        <v>0.1</v>
      </c>
    </row>
    <row r="474" spans="1:17" x14ac:dyDescent="0.35">
      <c r="A474" t="s">
        <v>8</v>
      </c>
      <c r="B474" t="s">
        <v>19</v>
      </c>
      <c r="C474" t="s">
        <v>41</v>
      </c>
      <c r="D474" t="s">
        <v>48</v>
      </c>
      <c r="E474" s="9">
        <v>510</v>
      </c>
      <c r="F474">
        <v>120</v>
      </c>
      <c r="G474">
        <v>15</v>
      </c>
      <c r="H474" s="9">
        <v>7650</v>
      </c>
      <c r="I474" s="9">
        <v>765</v>
      </c>
      <c r="J474" s="9">
        <v>6885</v>
      </c>
      <c r="K474" s="9">
        <v>5100</v>
      </c>
      <c r="L474" s="9">
        <v>1785</v>
      </c>
      <c r="M474" s="10">
        <v>41730</v>
      </c>
      <c r="N474">
        <v>4</v>
      </c>
      <c r="O474" t="s">
        <v>24</v>
      </c>
      <c r="P474" t="s">
        <v>15</v>
      </c>
      <c r="Q474" s="15">
        <f>Table2[[#This Row],[Discounts]]/Table2[[#This Row],[Gross Sales]]</f>
        <v>0.1</v>
      </c>
    </row>
    <row r="475" spans="1:17" x14ac:dyDescent="0.35">
      <c r="A475" t="s">
        <v>8</v>
      </c>
      <c r="B475" t="s">
        <v>92</v>
      </c>
      <c r="C475" t="s">
        <v>41</v>
      </c>
      <c r="D475" t="s">
        <v>48</v>
      </c>
      <c r="E475" s="9">
        <v>790</v>
      </c>
      <c r="F475">
        <v>120</v>
      </c>
      <c r="G475">
        <v>15</v>
      </c>
      <c r="H475" s="9">
        <v>11850</v>
      </c>
      <c r="I475" s="9">
        <v>1185</v>
      </c>
      <c r="J475" s="9">
        <v>10665</v>
      </c>
      <c r="K475" s="9">
        <v>7900</v>
      </c>
      <c r="L475" s="9">
        <v>2765</v>
      </c>
      <c r="M475" s="10">
        <v>41760</v>
      </c>
      <c r="N475">
        <v>5</v>
      </c>
      <c r="O475" t="s">
        <v>25</v>
      </c>
      <c r="P475" t="s">
        <v>15</v>
      </c>
      <c r="Q475" s="15">
        <f>Table2[[#This Row],[Discounts]]/Table2[[#This Row],[Gross Sales]]</f>
        <v>0.1</v>
      </c>
    </row>
    <row r="476" spans="1:17" x14ac:dyDescent="0.35">
      <c r="A476" t="s">
        <v>10</v>
      </c>
      <c r="B476" t="s">
        <v>18</v>
      </c>
      <c r="C476" t="s">
        <v>41</v>
      </c>
      <c r="D476" t="s">
        <v>48</v>
      </c>
      <c r="E476" s="9">
        <v>639</v>
      </c>
      <c r="F476">
        <v>120</v>
      </c>
      <c r="G476">
        <v>350</v>
      </c>
      <c r="H476" s="9">
        <v>223650</v>
      </c>
      <c r="I476" s="9">
        <v>22365</v>
      </c>
      <c r="J476" s="9">
        <v>201285</v>
      </c>
      <c r="K476" s="9">
        <v>166140</v>
      </c>
      <c r="L476" s="9">
        <v>35145</v>
      </c>
      <c r="M476" s="10">
        <v>41821</v>
      </c>
      <c r="N476">
        <v>7</v>
      </c>
      <c r="O476" t="s">
        <v>27</v>
      </c>
      <c r="P476" t="s">
        <v>15</v>
      </c>
      <c r="Q476" s="15">
        <f>Table2[[#This Row],[Discounts]]/Table2[[#This Row],[Gross Sales]]</f>
        <v>0.1</v>
      </c>
    </row>
    <row r="477" spans="1:17" x14ac:dyDescent="0.35">
      <c r="A477" t="s">
        <v>9</v>
      </c>
      <c r="B477" t="s">
        <v>92</v>
      </c>
      <c r="C477" t="s">
        <v>41</v>
      </c>
      <c r="D477" t="s">
        <v>48</v>
      </c>
      <c r="E477" s="9">
        <v>1596</v>
      </c>
      <c r="F477">
        <v>120</v>
      </c>
      <c r="G477">
        <v>125</v>
      </c>
      <c r="H477" s="9">
        <v>199500</v>
      </c>
      <c r="I477" s="9">
        <v>19950</v>
      </c>
      <c r="J477" s="9">
        <v>179550</v>
      </c>
      <c r="K477" s="9">
        <v>191520</v>
      </c>
      <c r="L477" s="9">
        <v>-11970</v>
      </c>
      <c r="M477" s="10">
        <v>41883</v>
      </c>
      <c r="N477">
        <v>9</v>
      </c>
      <c r="O477" t="s">
        <v>29</v>
      </c>
      <c r="P477" t="s">
        <v>15</v>
      </c>
      <c r="Q477" s="15">
        <f>Table2[[#This Row],[Discounts]]/Table2[[#This Row],[Gross Sales]]</f>
        <v>0.1</v>
      </c>
    </row>
    <row r="478" spans="1:17" x14ac:dyDescent="0.35">
      <c r="A478" t="s">
        <v>7</v>
      </c>
      <c r="B478" t="s">
        <v>92</v>
      </c>
      <c r="C478" t="s">
        <v>41</v>
      </c>
      <c r="D478" t="s">
        <v>48</v>
      </c>
      <c r="E478" s="9">
        <v>2294</v>
      </c>
      <c r="F478">
        <v>120</v>
      </c>
      <c r="G478">
        <v>300</v>
      </c>
      <c r="H478" s="9">
        <v>688200</v>
      </c>
      <c r="I478" s="9">
        <v>68820</v>
      </c>
      <c r="J478" s="9">
        <v>619380</v>
      </c>
      <c r="K478" s="9">
        <v>573500</v>
      </c>
      <c r="L478" s="9">
        <v>45880</v>
      </c>
      <c r="M478" s="10">
        <v>41548</v>
      </c>
      <c r="N478">
        <v>10</v>
      </c>
      <c r="O478" t="s">
        <v>30</v>
      </c>
      <c r="P478" t="s">
        <v>14</v>
      </c>
      <c r="Q478" s="15">
        <f>Table2[[#This Row],[Discounts]]/Table2[[#This Row],[Gross Sales]]</f>
        <v>0.1</v>
      </c>
    </row>
    <row r="479" spans="1:17" x14ac:dyDescent="0.35">
      <c r="A479" t="s">
        <v>10</v>
      </c>
      <c r="B479" t="s">
        <v>19</v>
      </c>
      <c r="C479" t="s">
        <v>41</v>
      </c>
      <c r="D479" t="s">
        <v>48</v>
      </c>
      <c r="E479" s="9">
        <v>241</v>
      </c>
      <c r="F479">
        <v>120</v>
      </c>
      <c r="G479">
        <v>20</v>
      </c>
      <c r="H479" s="9">
        <v>4820</v>
      </c>
      <c r="I479" s="9">
        <v>482</v>
      </c>
      <c r="J479" s="9">
        <v>4338</v>
      </c>
      <c r="K479" s="9">
        <v>2410</v>
      </c>
      <c r="L479" s="9">
        <v>1928</v>
      </c>
      <c r="M479" s="10">
        <v>41913</v>
      </c>
      <c r="N479">
        <v>10</v>
      </c>
      <c r="O479" t="s">
        <v>30</v>
      </c>
      <c r="P479" t="s">
        <v>15</v>
      </c>
      <c r="Q479" s="15">
        <f>Table2[[#This Row],[Discounts]]/Table2[[#This Row],[Gross Sales]]</f>
        <v>0.1</v>
      </c>
    </row>
    <row r="480" spans="1:17" x14ac:dyDescent="0.35">
      <c r="A480" t="s">
        <v>10</v>
      </c>
      <c r="B480" t="s">
        <v>19</v>
      </c>
      <c r="C480" t="s">
        <v>41</v>
      </c>
      <c r="D480" t="s">
        <v>48</v>
      </c>
      <c r="E480" s="9">
        <v>2665</v>
      </c>
      <c r="F480">
        <v>120</v>
      </c>
      <c r="G480">
        <v>7</v>
      </c>
      <c r="H480" s="9">
        <v>18655</v>
      </c>
      <c r="I480" s="9">
        <v>1865.5</v>
      </c>
      <c r="J480" s="9">
        <v>16789.5</v>
      </c>
      <c r="K480" s="9">
        <v>13325</v>
      </c>
      <c r="L480" s="9">
        <v>3464.5</v>
      </c>
      <c r="M480" s="10">
        <v>41944</v>
      </c>
      <c r="N480">
        <v>11</v>
      </c>
      <c r="O480" t="s">
        <v>31</v>
      </c>
      <c r="P480" t="s">
        <v>15</v>
      </c>
      <c r="Q480" s="15">
        <f>Table2[[#This Row],[Discounts]]/Table2[[#This Row],[Gross Sales]]</f>
        <v>0.1</v>
      </c>
    </row>
    <row r="481" spans="1:17" x14ac:dyDescent="0.35">
      <c r="A481" t="s">
        <v>9</v>
      </c>
      <c r="B481" t="s">
        <v>16</v>
      </c>
      <c r="C481" t="s">
        <v>41</v>
      </c>
      <c r="D481" t="s">
        <v>48</v>
      </c>
      <c r="E481" s="9">
        <v>1916</v>
      </c>
      <c r="F481">
        <v>120</v>
      </c>
      <c r="G481">
        <v>125</v>
      </c>
      <c r="H481" s="9">
        <v>239500</v>
      </c>
      <c r="I481" s="9">
        <v>23950</v>
      </c>
      <c r="J481" s="9">
        <v>215550</v>
      </c>
      <c r="K481" s="9">
        <v>229920</v>
      </c>
      <c r="L481" s="9">
        <v>-14370</v>
      </c>
      <c r="M481" s="10">
        <v>41609</v>
      </c>
      <c r="N481">
        <v>12</v>
      </c>
      <c r="O481" t="s">
        <v>32</v>
      </c>
      <c r="P481" t="s">
        <v>14</v>
      </c>
      <c r="Q481" s="15">
        <f>Table2[[#This Row],[Discounts]]/Table2[[#This Row],[Gross Sales]]</f>
        <v>0.1</v>
      </c>
    </row>
    <row r="482" spans="1:17" x14ac:dyDescent="0.35">
      <c r="A482" t="s">
        <v>7</v>
      </c>
      <c r="B482" t="s">
        <v>18</v>
      </c>
      <c r="C482" t="s">
        <v>41</v>
      </c>
      <c r="D482" t="s">
        <v>48</v>
      </c>
      <c r="E482" s="9">
        <v>853</v>
      </c>
      <c r="F482">
        <v>120</v>
      </c>
      <c r="G482">
        <v>300</v>
      </c>
      <c r="H482" s="9">
        <v>255900</v>
      </c>
      <c r="I482" s="9">
        <v>25590</v>
      </c>
      <c r="J482" s="9">
        <v>230310</v>
      </c>
      <c r="K482" s="9">
        <v>213250</v>
      </c>
      <c r="L482" s="9">
        <v>17060</v>
      </c>
      <c r="M482" s="10">
        <v>41974</v>
      </c>
      <c r="N482">
        <v>12</v>
      </c>
      <c r="O482" t="s">
        <v>32</v>
      </c>
      <c r="P482" t="s">
        <v>15</v>
      </c>
      <c r="Q482" s="15">
        <f>Table2[[#This Row],[Discounts]]/Table2[[#This Row],[Gross Sales]]</f>
        <v>0.1</v>
      </c>
    </row>
    <row r="483" spans="1:17" x14ac:dyDescent="0.35">
      <c r="A483" t="s">
        <v>9</v>
      </c>
      <c r="B483" t="s">
        <v>20</v>
      </c>
      <c r="C483" t="s">
        <v>42</v>
      </c>
      <c r="D483" t="s">
        <v>48</v>
      </c>
      <c r="E483" s="9">
        <v>341</v>
      </c>
      <c r="F483">
        <v>250</v>
      </c>
      <c r="G483">
        <v>125</v>
      </c>
      <c r="H483" s="9">
        <v>42625</v>
      </c>
      <c r="I483" s="9">
        <v>4262.5</v>
      </c>
      <c r="J483" s="9">
        <v>38362.5</v>
      </c>
      <c r="K483" s="9">
        <v>40920</v>
      </c>
      <c r="L483" s="9">
        <v>-2557.5</v>
      </c>
      <c r="M483" s="10">
        <v>41760</v>
      </c>
      <c r="N483">
        <v>5</v>
      </c>
      <c r="O483" t="s">
        <v>25</v>
      </c>
      <c r="P483" t="s">
        <v>15</v>
      </c>
      <c r="Q483" s="15">
        <f>Table2[[#This Row],[Discounts]]/Table2[[#This Row],[Gross Sales]]</f>
        <v>0.1</v>
      </c>
    </row>
    <row r="484" spans="1:17" x14ac:dyDescent="0.35">
      <c r="A484" t="s">
        <v>8</v>
      </c>
      <c r="B484" t="s">
        <v>20</v>
      </c>
      <c r="C484" t="s">
        <v>42</v>
      </c>
      <c r="D484" t="s">
        <v>48</v>
      </c>
      <c r="E484" s="9">
        <v>641</v>
      </c>
      <c r="F484">
        <v>250</v>
      </c>
      <c r="G484">
        <v>15</v>
      </c>
      <c r="H484" s="9">
        <v>9615</v>
      </c>
      <c r="I484" s="9">
        <v>961.5</v>
      </c>
      <c r="J484" s="9">
        <v>8653.5</v>
      </c>
      <c r="K484" s="9">
        <v>6410</v>
      </c>
      <c r="L484" s="9">
        <v>2243.5</v>
      </c>
      <c r="M484" s="10">
        <v>41821</v>
      </c>
      <c r="N484">
        <v>7</v>
      </c>
      <c r="O484" t="s">
        <v>27</v>
      </c>
      <c r="P484" t="s">
        <v>15</v>
      </c>
      <c r="Q484" s="15">
        <f>Table2[[#This Row],[Discounts]]/Table2[[#This Row],[Gross Sales]]</f>
        <v>0.1</v>
      </c>
    </row>
    <row r="485" spans="1:17" x14ac:dyDescent="0.35">
      <c r="A485" t="s">
        <v>10</v>
      </c>
      <c r="B485" t="s">
        <v>92</v>
      </c>
      <c r="C485" t="s">
        <v>42</v>
      </c>
      <c r="D485" t="s">
        <v>48</v>
      </c>
      <c r="E485" s="9">
        <v>2807</v>
      </c>
      <c r="F485">
        <v>250</v>
      </c>
      <c r="G485">
        <v>350</v>
      </c>
      <c r="H485" s="9">
        <v>982450</v>
      </c>
      <c r="I485" s="9">
        <v>98245</v>
      </c>
      <c r="J485" s="9">
        <v>884205</v>
      </c>
      <c r="K485" s="9">
        <v>729820</v>
      </c>
      <c r="L485" s="9">
        <v>154385</v>
      </c>
      <c r="M485" s="10">
        <v>41852</v>
      </c>
      <c r="N485">
        <v>8</v>
      </c>
      <c r="O485" t="s">
        <v>28</v>
      </c>
      <c r="P485" t="s">
        <v>15</v>
      </c>
      <c r="Q485" s="15">
        <f>Table2[[#This Row],[Discounts]]/Table2[[#This Row],[Gross Sales]]</f>
        <v>0.1</v>
      </c>
    </row>
    <row r="486" spans="1:17" x14ac:dyDescent="0.35">
      <c r="A486" t="s">
        <v>7</v>
      </c>
      <c r="B486" t="s">
        <v>20</v>
      </c>
      <c r="C486" t="s">
        <v>42</v>
      </c>
      <c r="D486" t="s">
        <v>48</v>
      </c>
      <c r="E486" s="9">
        <v>432</v>
      </c>
      <c r="F486">
        <v>250</v>
      </c>
      <c r="G486">
        <v>300</v>
      </c>
      <c r="H486" s="9">
        <v>129600</v>
      </c>
      <c r="I486" s="9">
        <v>12960</v>
      </c>
      <c r="J486" s="9">
        <v>116640</v>
      </c>
      <c r="K486" s="9">
        <v>108000</v>
      </c>
      <c r="L486" s="9">
        <v>8640</v>
      </c>
      <c r="M486" s="10">
        <v>41883</v>
      </c>
      <c r="N486">
        <v>9</v>
      </c>
      <c r="O486" t="s">
        <v>29</v>
      </c>
      <c r="P486" t="s">
        <v>15</v>
      </c>
      <c r="Q486" s="15">
        <f>Table2[[#This Row],[Discounts]]/Table2[[#This Row],[Gross Sales]]</f>
        <v>0.1</v>
      </c>
    </row>
    <row r="487" spans="1:17" x14ac:dyDescent="0.35">
      <c r="A487" t="s">
        <v>7</v>
      </c>
      <c r="B487" t="s">
        <v>92</v>
      </c>
      <c r="C487" t="s">
        <v>42</v>
      </c>
      <c r="D487" t="s">
        <v>48</v>
      </c>
      <c r="E487" s="9">
        <v>2294</v>
      </c>
      <c r="F487">
        <v>250</v>
      </c>
      <c r="G487">
        <v>300</v>
      </c>
      <c r="H487" s="9">
        <v>688200</v>
      </c>
      <c r="I487" s="9">
        <v>68820</v>
      </c>
      <c r="J487" s="9">
        <v>619380</v>
      </c>
      <c r="K487" s="9">
        <v>573500</v>
      </c>
      <c r="L487" s="9">
        <v>45880</v>
      </c>
      <c r="M487" s="10">
        <v>41548</v>
      </c>
      <c r="N487">
        <v>10</v>
      </c>
      <c r="O487" t="s">
        <v>30</v>
      </c>
      <c r="P487" t="s">
        <v>14</v>
      </c>
      <c r="Q487" s="15">
        <f>Table2[[#This Row],[Discounts]]/Table2[[#This Row],[Gross Sales]]</f>
        <v>0.1</v>
      </c>
    </row>
    <row r="488" spans="1:17" x14ac:dyDescent="0.35">
      <c r="A488" t="s">
        <v>8</v>
      </c>
      <c r="B488" t="s">
        <v>18</v>
      </c>
      <c r="C488" t="s">
        <v>42</v>
      </c>
      <c r="D488" t="s">
        <v>48</v>
      </c>
      <c r="E488" s="9">
        <v>2167</v>
      </c>
      <c r="F488">
        <v>250</v>
      </c>
      <c r="G488">
        <v>15</v>
      </c>
      <c r="H488" s="9">
        <v>32505</v>
      </c>
      <c r="I488" s="9">
        <v>3250.5</v>
      </c>
      <c r="J488" s="9">
        <v>29254.5</v>
      </c>
      <c r="K488" s="9">
        <v>21670</v>
      </c>
      <c r="L488" s="9">
        <v>7584.5</v>
      </c>
      <c r="M488" s="10">
        <v>41548</v>
      </c>
      <c r="N488">
        <v>10</v>
      </c>
      <c r="O488" t="s">
        <v>30</v>
      </c>
      <c r="P488" t="s">
        <v>14</v>
      </c>
      <c r="Q488" s="15">
        <f>Table2[[#This Row],[Discounts]]/Table2[[#This Row],[Gross Sales]]</f>
        <v>0.1</v>
      </c>
    </row>
    <row r="489" spans="1:17" x14ac:dyDescent="0.35">
      <c r="A489" t="s">
        <v>9</v>
      </c>
      <c r="B489" t="s">
        <v>16</v>
      </c>
      <c r="C489" t="s">
        <v>42</v>
      </c>
      <c r="D489" t="s">
        <v>48</v>
      </c>
      <c r="E489" s="9">
        <v>2529</v>
      </c>
      <c r="F489">
        <v>250</v>
      </c>
      <c r="G489">
        <v>125</v>
      </c>
      <c r="H489" s="9">
        <v>316125</v>
      </c>
      <c r="I489" s="9">
        <v>31612.5</v>
      </c>
      <c r="J489" s="9">
        <v>284512.5</v>
      </c>
      <c r="K489" s="9">
        <v>303480</v>
      </c>
      <c r="L489" s="9">
        <v>-18967.5</v>
      </c>
      <c r="M489" s="10">
        <v>41944</v>
      </c>
      <c r="N489">
        <v>11</v>
      </c>
      <c r="O489" t="s">
        <v>31</v>
      </c>
      <c r="P489" t="s">
        <v>15</v>
      </c>
      <c r="Q489" s="15">
        <f>Table2[[#This Row],[Discounts]]/Table2[[#This Row],[Gross Sales]]</f>
        <v>0.1</v>
      </c>
    </row>
    <row r="490" spans="1:17" x14ac:dyDescent="0.35">
      <c r="A490" t="s">
        <v>10</v>
      </c>
      <c r="B490" t="s">
        <v>19</v>
      </c>
      <c r="C490" t="s">
        <v>42</v>
      </c>
      <c r="D490" t="s">
        <v>48</v>
      </c>
      <c r="E490" s="9">
        <v>1870</v>
      </c>
      <c r="F490">
        <v>250</v>
      </c>
      <c r="G490">
        <v>350</v>
      </c>
      <c r="H490" s="9">
        <v>654500</v>
      </c>
      <c r="I490" s="9">
        <v>65450</v>
      </c>
      <c r="J490" s="9">
        <v>589050</v>
      </c>
      <c r="K490" s="9">
        <v>486200</v>
      </c>
      <c r="L490" s="9">
        <v>102850</v>
      </c>
      <c r="M490" s="10">
        <v>41609</v>
      </c>
      <c r="N490">
        <v>12</v>
      </c>
      <c r="O490" t="s">
        <v>32</v>
      </c>
      <c r="P490" t="s">
        <v>14</v>
      </c>
      <c r="Q490" s="15">
        <f>Table2[[#This Row],[Discounts]]/Table2[[#This Row],[Gross Sales]]</f>
        <v>0.1</v>
      </c>
    </row>
    <row r="491" spans="1:17" x14ac:dyDescent="0.35">
      <c r="A491" t="s">
        <v>9</v>
      </c>
      <c r="B491" t="s">
        <v>92</v>
      </c>
      <c r="C491" t="s">
        <v>43</v>
      </c>
      <c r="D491" t="s">
        <v>48</v>
      </c>
      <c r="E491" s="9">
        <v>579</v>
      </c>
      <c r="F491">
        <v>260</v>
      </c>
      <c r="G491">
        <v>125</v>
      </c>
      <c r="H491" s="9">
        <v>72375</v>
      </c>
      <c r="I491" s="9">
        <v>7237.5</v>
      </c>
      <c r="J491" s="9">
        <v>65137.5</v>
      </c>
      <c r="K491" s="9">
        <v>69480</v>
      </c>
      <c r="L491" s="9">
        <v>-4342.5</v>
      </c>
      <c r="M491" s="10">
        <v>41640</v>
      </c>
      <c r="N491">
        <v>1</v>
      </c>
      <c r="O491" t="s">
        <v>21</v>
      </c>
      <c r="P491" t="s">
        <v>15</v>
      </c>
      <c r="Q491" s="15">
        <f>Table2[[#This Row],[Discounts]]/Table2[[#This Row],[Gross Sales]]</f>
        <v>0.1</v>
      </c>
    </row>
    <row r="492" spans="1:17" x14ac:dyDescent="0.35">
      <c r="A492" t="s">
        <v>10</v>
      </c>
      <c r="B492" t="s">
        <v>16</v>
      </c>
      <c r="C492" t="s">
        <v>43</v>
      </c>
      <c r="D492" t="s">
        <v>48</v>
      </c>
      <c r="E492" s="9">
        <v>2240</v>
      </c>
      <c r="F492">
        <v>260</v>
      </c>
      <c r="G492">
        <v>350</v>
      </c>
      <c r="H492" s="9">
        <v>784000</v>
      </c>
      <c r="I492" s="9">
        <v>78400</v>
      </c>
      <c r="J492" s="9">
        <v>705600</v>
      </c>
      <c r="K492" s="9">
        <v>582400</v>
      </c>
      <c r="L492" s="9">
        <v>123200</v>
      </c>
      <c r="M492" s="10">
        <v>41671</v>
      </c>
      <c r="N492">
        <v>2</v>
      </c>
      <c r="O492" t="s">
        <v>22</v>
      </c>
      <c r="P492" t="s">
        <v>15</v>
      </c>
      <c r="Q492" s="15">
        <f>Table2[[#This Row],[Discounts]]/Table2[[#This Row],[Gross Sales]]</f>
        <v>0.1</v>
      </c>
    </row>
    <row r="493" spans="1:17" x14ac:dyDescent="0.35">
      <c r="A493" t="s">
        <v>7</v>
      </c>
      <c r="B493" t="s">
        <v>92</v>
      </c>
      <c r="C493" t="s">
        <v>43</v>
      </c>
      <c r="D493" t="s">
        <v>48</v>
      </c>
      <c r="E493" s="9">
        <v>2993</v>
      </c>
      <c r="F493">
        <v>260</v>
      </c>
      <c r="G493">
        <v>300</v>
      </c>
      <c r="H493" s="9">
        <v>897900</v>
      </c>
      <c r="I493" s="9">
        <v>89790</v>
      </c>
      <c r="J493" s="9">
        <v>808110</v>
      </c>
      <c r="K493" s="9">
        <v>748250</v>
      </c>
      <c r="L493" s="9">
        <v>59860</v>
      </c>
      <c r="M493" s="10">
        <v>41699</v>
      </c>
      <c r="N493">
        <v>3</v>
      </c>
      <c r="O493" t="s">
        <v>23</v>
      </c>
      <c r="P493" t="s">
        <v>15</v>
      </c>
      <c r="Q493" s="15">
        <f>Table2[[#This Row],[Discounts]]/Table2[[#This Row],[Gross Sales]]</f>
        <v>0.1</v>
      </c>
    </row>
    <row r="494" spans="1:17" x14ac:dyDescent="0.35">
      <c r="A494" t="s">
        <v>11</v>
      </c>
      <c r="B494" t="s">
        <v>16</v>
      </c>
      <c r="C494" t="s">
        <v>43</v>
      </c>
      <c r="D494" t="s">
        <v>48</v>
      </c>
      <c r="E494" s="9">
        <v>3520.5</v>
      </c>
      <c r="F494">
        <v>260</v>
      </c>
      <c r="G494">
        <v>12</v>
      </c>
      <c r="H494" s="9">
        <v>42246</v>
      </c>
      <c r="I494" s="9">
        <v>4224.6000000000004</v>
      </c>
      <c r="J494" s="9">
        <v>38021.399999999994</v>
      </c>
      <c r="K494" s="9">
        <v>10561.5</v>
      </c>
      <c r="L494" s="9">
        <v>27459.899999999998</v>
      </c>
      <c r="M494" s="10">
        <v>41730</v>
      </c>
      <c r="N494">
        <v>4</v>
      </c>
      <c r="O494" t="s">
        <v>24</v>
      </c>
      <c r="P494" t="s">
        <v>15</v>
      </c>
      <c r="Q494" s="15">
        <f>Table2[[#This Row],[Discounts]]/Table2[[#This Row],[Gross Sales]]</f>
        <v>0.1</v>
      </c>
    </row>
    <row r="495" spans="1:17" x14ac:dyDescent="0.35">
      <c r="A495" t="s">
        <v>10</v>
      </c>
      <c r="B495" t="s">
        <v>20</v>
      </c>
      <c r="C495" t="s">
        <v>43</v>
      </c>
      <c r="D495" t="s">
        <v>48</v>
      </c>
      <c r="E495" s="9">
        <v>2039</v>
      </c>
      <c r="F495">
        <v>260</v>
      </c>
      <c r="G495">
        <v>20</v>
      </c>
      <c r="H495" s="9">
        <v>40780</v>
      </c>
      <c r="I495" s="9">
        <v>4078</v>
      </c>
      <c r="J495" s="9">
        <v>36702</v>
      </c>
      <c r="K495" s="9">
        <v>20390</v>
      </c>
      <c r="L495" s="9">
        <v>16312</v>
      </c>
      <c r="M495" s="10">
        <v>41760</v>
      </c>
      <c r="N495">
        <v>5</v>
      </c>
      <c r="O495" t="s">
        <v>25</v>
      </c>
      <c r="P495" t="s">
        <v>15</v>
      </c>
      <c r="Q495" s="15">
        <f>Table2[[#This Row],[Discounts]]/Table2[[#This Row],[Gross Sales]]</f>
        <v>0.1</v>
      </c>
    </row>
    <row r="496" spans="1:17" x14ac:dyDescent="0.35">
      <c r="A496" t="s">
        <v>11</v>
      </c>
      <c r="B496" t="s">
        <v>19</v>
      </c>
      <c r="C496" t="s">
        <v>43</v>
      </c>
      <c r="D496" t="s">
        <v>48</v>
      </c>
      <c r="E496" s="9">
        <v>2574</v>
      </c>
      <c r="F496">
        <v>260</v>
      </c>
      <c r="G496">
        <v>12</v>
      </c>
      <c r="H496" s="9">
        <v>30888</v>
      </c>
      <c r="I496" s="9">
        <v>3088.8</v>
      </c>
      <c r="J496" s="9">
        <v>27799.200000000001</v>
      </c>
      <c r="K496" s="9">
        <v>7722</v>
      </c>
      <c r="L496" s="9">
        <v>20077.2</v>
      </c>
      <c r="M496" s="10">
        <v>41852</v>
      </c>
      <c r="N496">
        <v>8</v>
      </c>
      <c r="O496" t="s">
        <v>28</v>
      </c>
      <c r="P496" t="s">
        <v>15</v>
      </c>
      <c r="Q496" s="15">
        <f>Table2[[#This Row],[Discounts]]/Table2[[#This Row],[Gross Sales]]</f>
        <v>0.1</v>
      </c>
    </row>
    <row r="497" spans="1:17" x14ac:dyDescent="0.35">
      <c r="A497" t="s">
        <v>10</v>
      </c>
      <c r="B497" t="s">
        <v>16</v>
      </c>
      <c r="C497" t="s">
        <v>43</v>
      </c>
      <c r="D497" t="s">
        <v>48</v>
      </c>
      <c r="E497" s="9">
        <v>707</v>
      </c>
      <c r="F497">
        <v>260</v>
      </c>
      <c r="G497">
        <v>350</v>
      </c>
      <c r="H497" s="9">
        <v>247450</v>
      </c>
      <c r="I497" s="9">
        <v>24745</v>
      </c>
      <c r="J497" s="9">
        <v>222705</v>
      </c>
      <c r="K497" s="9">
        <v>183820</v>
      </c>
      <c r="L497" s="9">
        <v>38885</v>
      </c>
      <c r="M497" s="10">
        <v>41883</v>
      </c>
      <c r="N497">
        <v>9</v>
      </c>
      <c r="O497" t="s">
        <v>29</v>
      </c>
      <c r="P497" t="s">
        <v>15</v>
      </c>
      <c r="Q497" s="15">
        <f>Table2[[#This Row],[Discounts]]/Table2[[#This Row],[Gross Sales]]</f>
        <v>0.1</v>
      </c>
    </row>
    <row r="498" spans="1:17" x14ac:dyDescent="0.35">
      <c r="A498" t="s">
        <v>8</v>
      </c>
      <c r="B498" t="s">
        <v>18</v>
      </c>
      <c r="C498" t="s">
        <v>43</v>
      </c>
      <c r="D498" t="s">
        <v>48</v>
      </c>
      <c r="E498" s="9">
        <v>2072</v>
      </c>
      <c r="F498">
        <v>260</v>
      </c>
      <c r="G498">
        <v>15</v>
      </c>
      <c r="H498" s="9">
        <v>31080</v>
      </c>
      <c r="I498" s="9">
        <v>3108</v>
      </c>
      <c r="J498" s="9">
        <v>27972</v>
      </c>
      <c r="K498" s="9">
        <v>20720</v>
      </c>
      <c r="L498" s="9">
        <v>7252</v>
      </c>
      <c r="M498" s="10">
        <v>41974</v>
      </c>
      <c r="N498">
        <v>12</v>
      </c>
      <c r="O498" t="s">
        <v>32</v>
      </c>
      <c r="P498" t="s">
        <v>15</v>
      </c>
      <c r="Q498" s="15">
        <f>Table2[[#This Row],[Discounts]]/Table2[[#This Row],[Gross Sales]]</f>
        <v>0.1</v>
      </c>
    </row>
    <row r="499" spans="1:17" x14ac:dyDescent="0.35">
      <c r="A499" t="s">
        <v>7</v>
      </c>
      <c r="B499" t="s">
        <v>18</v>
      </c>
      <c r="C499" t="s">
        <v>43</v>
      </c>
      <c r="D499" t="s">
        <v>48</v>
      </c>
      <c r="E499" s="9">
        <v>853</v>
      </c>
      <c r="F499">
        <v>260</v>
      </c>
      <c r="G499">
        <v>300</v>
      </c>
      <c r="H499" s="9">
        <v>255900</v>
      </c>
      <c r="I499" s="9">
        <v>25590</v>
      </c>
      <c r="J499" s="9">
        <v>230310</v>
      </c>
      <c r="K499" s="9">
        <v>213250</v>
      </c>
      <c r="L499" s="9">
        <v>17060</v>
      </c>
      <c r="M499" s="10">
        <v>41974</v>
      </c>
      <c r="N499">
        <v>12</v>
      </c>
      <c r="O499" t="s">
        <v>32</v>
      </c>
      <c r="P499" t="s">
        <v>15</v>
      </c>
      <c r="Q499" s="15">
        <f>Table2[[#This Row],[Discounts]]/Table2[[#This Row],[Gross Sales]]</f>
        <v>0.1</v>
      </c>
    </row>
    <row r="500" spans="1:17" x14ac:dyDescent="0.35">
      <c r="A500" t="s">
        <v>11</v>
      </c>
      <c r="B500" t="s">
        <v>18</v>
      </c>
      <c r="C500" t="s">
        <v>38</v>
      </c>
      <c r="D500" t="s">
        <v>48</v>
      </c>
      <c r="E500" s="9">
        <v>1198</v>
      </c>
      <c r="F500">
        <v>3</v>
      </c>
      <c r="G500">
        <v>12</v>
      </c>
      <c r="H500" s="9">
        <v>14376</v>
      </c>
      <c r="I500" s="9">
        <v>1581.36</v>
      </c>
      <c r="J500" s="9">
        <v>12794.64</v>
      </c>
      <c r="K500" s="9">
        <v>3594</v>
      </c>
      <c r="L500" s="9">
        <v>9200.64</v>
      </c>
      <c r="M500" s="10">
        <v>41548</v>
      </c>
      <c r="N500">
        <v>10</v>
      </c>
      <c r="O500" t="s">
        <v>30</v>
      </c>
      <c r="P500" t="s">
        <v>14</v>
      </c>
      <c r="Q500" s="15">
        <f>Table2[[#This Row],[Discounts]]/Table2[[#This Row],[Gross Sales]]</f>
        <v>0.10999999999999999</v>
      </c>
    </row>
    <row r="501" spans="1:17" x14ac:dyDescent="0.35">
      <c r="A501" t="s">
        <v>10</v>
      </c>
      <c r="B501" t="s">
        <v>18</v>
      </c>
      <c r="C501" t="s">
        <v>40</v>
      </c>
      <c r="D501" t="s">
        <v>48</v>
      </c>
      <c r="E501" s="9">
        <v>2532</v>
      </c>
      <c r="F501">
        <v>10</v>
      </c>
      <c r="G501">
        <v>7</v>
      </c>
      <c r="H501" s="9">
        <v>17724</v>
      </c>
      <c r="I501" s="9">
        <v>1949.6399999999999</v>
      </c>
      <c r="J501" s="9">
        <v>15774.36</v>
      </c>
      <c r="K501" s="9">
        <v>12660</v>
      </c>
      <c r="L501" s="9">
        <v>3114.3599999999997</v>
      </c>
      <c r="M501" s="10">
        <v>41730</v>
      </c>
      <c r="N501">
        <v>4</v>
      </c>
      <c r="O501" t="s">
        <v>24</v>
      </c>
      <c r="P501" t="s">
        <v>15</v>
      </c>
      <c r="Q501" s="15">
        <f>Table2[[#This Row],[Discounts]]/Table2[[#This Row],[Gross Sales]]</f>
        <v>0.10999999999999999</v>
      </c>
    </row>
    <row r="502" spans="1:17" x14ac:dyDescent="0.35">
      <c r="A502" t="s">
        <v>11</v>
      </c>
      <c r="B502" t="s">
        <v>18</v>
      </c>
      <c r="C502" t="s">
        <v>40</v>
      </c>
      <c r="D502" t="s">
        <v>48</v>
      </c>
      <c r="E502" s="9">
        <v>1198</v>
      </c>
      <c r="F502">
        <v>10</v>
      </c>
      <c r="G502">
        <v>12</v>
      </c>
      <c r="H502" s="9">
        <v>14376</v>
      </c>
      <c r="I502" s="9">
        <v>1581.36</v>
      </c>
      <c r="J502" s="9">
        <v>12794.64</v>
      </c>
      <c r="K502" s="9">
        <v>3594</v>
      </c>
      <c r="L502" s="9">
        <v>9200.64</v>
      </c>
      <c r="M502" s="10">
        <v>41548</v>
      </c>
      <c r="N502">
        <v>10</v>
      </c>
      <c r="O502" t="s">
        <v>30</v>
      </c>
      <c r="P502" t="s">
        <v>14</v>
      </c>
      <c r="Q502" s="15">
        <f>Table2[[#This Row],[Discounts]]/Table2[[#This Row],[Gross Sales]]</f>
        <v>0.10999999999999999</v>
      </c>
    </row>
    <row r="503" spans="1:17" x14ac:dyDescent="0.35">
      <c r="A503" t="s">
        <v>8</v>
      </c>
      <c r="B503" t="s">
        <v>16</v>
      </c>
      <c r="C503" t="s">
        <v>41</v>
      </c>
      <c r="D503" t="s">
        <v>48</v>
      </c>
      <c r="E503" s="9">
        <v>384</v>
      </c>
      <c r="F503">
        <v>120</v>
      </c>
      <c r="G503">
        <v>15</v>
      </c>
      <c r="H503" s="9">
        <v>5760</v>
      </c>
      <c r="I503" s="9">
        <v>633.59999999999991</v>
      </c>
      <c r="J503" s="9">
        <v>5126.3999999999996</v>
      </c>
      <c r="K503" s="9">
        <v>3840</v>
      </c>
      <c r="L503" s="9">
        <v>1286.3999999999999</v>
      </c>
      <c r="M503" s="10">
        <v>41640</v>
      </c>
      <c r="N503">
        <v>1</v>
      </c>
      <c r="O503" t="s">
        <v>21</v>
      </c>
      <c r="P503" t="s">
        <v>15</v>
      </c>
      <c r="Q503" s="15">
        <f>Table2[[#This Row],[Discounts]]/Table2[[#This Row],[Gross Sales]]</f>
        <v>0.10999999999999999</v>
      </c>
    </row>
    <row r="504" spans="1:17" x14ac:dyDescent="0.35">
      <c r="A504" t="s">
        <v>11</v>
      </c>
      <c r="B504" t="s">
        <v>19</v>
      </c>
      <c r="C504" t="s">
        <v>41</v>
      </c>
      <c r="D504" t="s">
        <v>48</v>
      </c>
      <c r="E504" s="9">
        <v>472</v>
      </c>
      <c r="F504">
        <v>120</v>
      </c>
      <c r="G504">
        <v>12</v>
      </c>
      <c r="H504" s="9">
        <v>5664</v>
      </c>
      <c r="I504" s="9">
        <v>623.04</v>
      </c>
      <c r="J504" s="9">
        <v>5040.96</v>
      </c>
      <c r="K504" s="9">
        <v>1416</v>
      </c>
      <c r="L504" s="9">
        <v>3624.96</v>
      </c>
      <c r="M504" s="10">
        <v>41913</v>
      </c>
      <c r="N504">
        <v>10</v>
      </c>
      <c r="O504" t="s">
        <v>30</v>
      </c>
      <c r="P504" t="s">
        <v>15</v>
      </c>
      <c r="Q504" s="15">
        <f>Table2[[#This Row],[Discounts]]/Table2[[#This Row],[Gross Sales]]</f>
        <v>0.10999999999999999</v>
      </c>
    </row>
    <row r="505" spans="1:17" x14ac:dyDescent="0.35">
      <c r="A505" t="s">
        <v>10</v>
      </c>
      <c r="B505" t="s">
        <v>92</v>
      </c>
      <c r="C505" t="s">
        <v>42</v>
      </c>
      <c r="D505" t="s">
        <v>48</v>
      </c>
      <c r="E505" s="9">
        <v>1579</v>
      </c>
      <c r="F505">
        <v>250</v>
      </c>
      <c r="G505">
        <v>7</v>
      </c>
      <c r="H505" s="9">
        <v>11053</v>
      </c>
      <c r="I505" s="9">
        <v>1215.83</v>
      </c>
      <c r="J505" s="9">
        <v>9837.17</v>
      </c>
      <c r="K505" s="9">
        <v>7895</v>
      </c>
      <c r="L505" s="9">
        <v>1942.17</v>
      </c>
      <c r="M505" s="10">
        <v>41699</v>
      </c>
      <c r="N505">
        <v>3</v>
      </c>
      <c r="O505" t="s">
        <v>23</v>
      </c>
      <c r="P505" t="s">
        <v>15</v>
      </c>
      <c r="Q505" s="15">
        <f>Table2[[#This Row],[Discounts]]/Table2[[#This Row],[Gross Sales]]</f>
        <v>0.10999999999999999</v>
      </c>
    </row>
    <row r="506" spans="1:17" x14ac:dyDescent="0.35">
      <c r="A506" t="s">
        <v>11</v>
      </c>
      <c r="B506" t="s">
        <v>20</v>
      </c>
      <c r="C506" t="s">
        <v>42</v>
      </c>
      <c r="D506" t="s">
        <v>48</v>
      </c>
      <c r="E506" s="9">
        <v>1005</v>
      </c>
      <c r="F506">
        <v>250</v>
      </c>
      <c r="G506">
        <v>12</v>
      </c>
      <c r="H506" s="9">
        <v>12060</v>
      </c>
      <c r="I506" s="9">
        <v>1326.6</v>
      </c>
      <c r="J506" s="9">
        <v>10733.4</v>
      </c>
      <c r="K506" s="9">
        <v>3015</v>
      </c>
      <c r="L506" s="9">
        <v>7718.4</v>
      </c>
      <c r="M506" s="10">
        <v>41518</v>
      </c>
      <c r="N506">
        <v>9</v>
      </c>
      <c r="O506" t="s">
        <v>29</v>
      </c>
      <c r="P506" t="s">
        <v>14</v>
      </c>
      <c r="Q506" s="15">
        <f>Table2[[#This Row],[Discounts]]/Table2[[#This Row],[Gross Sales]]</f>
        <v>0.10999999999999999</v>
      </c>
    </row>
    <row r="507" spans="1:17" x14ac:dyDescent="0.35">
      <c r="A507" t="s">
        <v>8</v>
      </c>
      <c r="B507" t="s">
        <v>92</v>
      </c>
      <c r="C507" t="s">
        <v>43</v>
      </c>
      <c r="D507" t="s">
        <v>48</v>
      </c>
      <c r="E507" s="9">
        <v>3199.5</v>
      </c>
      <c r="F507">
        <v>260</v>
      </c>
      <c r="G507">
        <v>15</v>
      </c>
      <c r="H507" s="9">
        <v>47992.5</v>
      </c>
      <c r="I507" s="9">
        <v>5279.1749999999993</v>
      </c>
      <c r="J507" s="9">
        <v>42713.324999999997</v>
      </c>
      <c r="K507" s="9">
        <v>31995</v>
      </c>
      <c r="L507" s="9">
        <v>10718.324999999999</v>
      </c>
      <c r="M507" s="10">
        <v>41821</v>
      </c>
      <c r="N507">
        <v>7</v>
      </c>
      <c r="O507" t="s">
        <v>27</v>
      </c>
      <c r="P507" t="s">
        <v>15</v>
      </c>
      <c r="Q507" s="15">
        <f>Table2[[#This Row],[Discounts]]/Table2[[#This Row],[Gross Sales]]</f>
        <v>0.10999999999999999</v>
      </c>
    </row>
    <row r="508" spans="1:17" x14ac:dyDescent="0.35">
      <c r="A508" t="s">
        <v>11</v>
      </c>
      <c r="B508" t="s">
        <v>19</v>
      </c>
      <c r="C508" t="s">
        <v>43</v>
      </c>
      <c r="D508" t="s">
        <v>48</v>
      </c>
      <c r="E508" s="9">
        <v>472</v>
      </c>
      <c r="F508">
        <v>260</v>
      </c>
      <c r="G508">
        <v>12</v>
      </c>
      <c r="H508" s="9">
        <v>5664</v>
      </c>
      <c r="I508" s="9">
        <v>623.04</v>
      </c>
      <c r="J508" s="9">
        <v>5040.96</v>
      </c>
      <c r="K508" s="9">
        <v>1416</v>
      </c>
      <c r="L508" s="9">
        <v>3624.96</v>
      </c>
      <c r="M508" s="10">
        <v>41913</v>
      </c>
      <c r="N508">
        <v>10</v>
      </c>
      <c r="O508" t="s">
        <v>30</v>
      </c>
      <c r="P508" t="s">
        <v>15</v>
      </c>
      <c r="Q508" s="15">
        <f>Table2[[#This Row],[Discounts]]/Table2[[#This Row],[Gross Sales]]</f>
        <v>0.10999999999999999</v>
      </c>
    </row>
    <row r="509" spans="1:17" x14ac:dyDescent="0.35">
      <c r="A509" t="s">
        <v>11</v>
      </c>
      <c r="B509" t="s">
        <v>16</v>
      </c>
      <c r="C509" t="s">
        <v>38</v>
      </c>
      <c r="D509" t="s">
        <v>48</v>
      </c>
      <c r="E509" s="9">
        <v>1937</v>
      </c>
      <c r="F509">
        <v>3</v>
      </c>
      <c r="G509">
        <v>12</v>
      </c>
      <c r="H509" s="9">
        <v>23244</v>
      </c>
      <c r="I509" s="9">
        <v>2556.84</v>
      </c>
      <c r="J509" s="9">
        <v>20687.16</v>
      </c>
      <c r="K509" s="9">
        <v>5811</v>
      </c>
      <c r="L509" s="9">
        <v>14876.16</v>
      </c>
      <c r="M509" s="10">
        <v>41671</v>
      </c>
      <c r="N509">
        <v>2</v>
      </c>
      <c r="O509" t="s">
        <v>22</v>
      </c>
      <c r="P509" t="s">
        <v>15</v>
      </c>
      <c r="Q509" s="15">
        <f>Table2[[#This Row],[Discounts]]/Table2[[#This Row],[Gross Sales]]</f>
        <v>0.11</v>
      </c>
    </row>
    <row r="510" spans="1:17" x14ac:dyDescent="0.35">
      <c r="A510" t="s">
        <v>10</v>
      </c>
      <c r="B510" t="s">
        <v>19</v>
      </c>
      <c r="C510" t="s">
        <v>38</v>
      </c>
      <c r="D510" t="s">
        <v>48</v>
      </c>
      <c r="E510" s="9">
        <v>792</v>
      </c>
      <c r="F510">
        <v>3</v>
      </c>
      <c r="G510">
        <v>350</v>
      </c>
      <c r="H510" s="9">
        <v>277200</v>
      </c>
      <c r="I510" s="9">
        <v>30492</v>
      </c>
      <c r="J510" s="9">
        <v>246708</v>
      </c>
      <c r="K510" s="9">
        <v>205920</v>
      </c>
      <c r="L510" s="9">
        <v>40788</v>
      </c>
      <c r="M510" s="10">
        <v>41699</v>
      </c>
      <c r="N510">
        <v>3</v>
      </c>
      <c r="O510" t="s">
        <v>23</v>
      </c>
      <c r="P510" t="s">
        <v>15</v>
      </c>
      <c r="Q510" s="15">
        <f>Table2[[#This Row],[Discounts]]/Table2[[#This Row],[Gross Sales]]</f>
        <v>0.11</v>
      </c>
    </row>
    <row r="511" spans="1:17" x14ac:dyDescent="0.35">
      <c r="A511" t="s">
        <v>7</v>
      </c>
      <c r="B511" t="s">
        <v>19</v>
      </c>
      <c r="C511" t="s">
        <v>38</v>
      </c>
      <c r="D511" t="s">
        <v>48</v>
      </c>
      <c r="E511" s="9">
        <v>2811</v>
      </c>
      <c r="F511">
        <v>3</v>
      </c>
      <c r="G511">
        <v>300</v>
      </c>
      <c r="H511" s="9">
        <v>843300</v>
      </c>
      <c r="I511" s="9">
        <v>92763</v>
      </c>
      <c r="J511" s="9">
        <v>750537</v>
      </c>
      <c r="K511" s="9">
        <v>702750</v>
      </c>
      <c r="L511" s="9">
        <v>47787</v>
      </c>
      <c r="M511" s="10">
        <v>41821</v>
      </c>
      <c r="N511">
        <v>7</v>
      </c>
      <c r="O511" t="s">
        <v>27</v>
      </c>
      <c r="P511" t="s">
        <v>15</v>
      </c>
      <c r="Q511" s="15">
        <f>Table2[[#This Row],[Discounts]]/Table2[[#This Row],[Gross Sales]]</f>
        <v>0.11</v>
      </c>
    </row>
    <row r="512" spans="1:17" x14ac:dyDescent="0.35">
      <c r="A512" t="s">
        <v>9</v>
      </c>
      <c r="B512" t="s">
        <v>18</v>
      </c>
      <c r="C512" t="s">
        <v>38</v>
      </c>
      <c r="D512" t="s">
        <v>48</v>
      </c>
      <c r="E512" s="9">
        <v>2441</v>
      </c>
      <c r="F512">
        <v>3</v>
      </c>
      <c r="G512">
        <v>125</v>
      </c>
      <c r="H512" s="9">
        <v>305125</v>
      </c>
      <c r="I512" s="9">
        <v>33563.75</v>
      </c>
      <c r="J512" s="9">
        <v>271561.25</v>
      </c>
      <c r="K512" s="9">
        <v>292920</v>
      </c>
      <c r="L512" s="9">
        <v>-21358.75</v>
      </c>
      <c r="M512" s="10">
        <v>41913</v>
      </c>
      <c r="N512">
        <v>10</v>
      </c>
      <c r="O512" t="s">
        <v>30</v>
      </c>
      <c r="P512" t="s">
        <v>15</v>
      </c>
      <c r="Q512" s="15">
        <f>Table2[[#This Row],[Discounts]]/Table2[[#This Row],[Gross Sales]]</f>
        <v>0.11</v>
      </c>
    </row>
    <row r="513" spans="1:17" x14ac:dyDescent="0.35">
      <c r="A513" t="s">
        <v>8</v>
      </c>
      <c r="B513" t="s">
        <v>16</v>
      </c>
      <c r="C513" t="s">
        <v>38</v>
      </c>
      <c r="D513" t="s">
        <v>48</v>
      </c>
      <c r="E513" s="9">
        <v>1560</v>
      </c>
      <c r="F513">
        <v>3</v>
      </c>
      <c r="G513">
        <v>15</v>
      </c>
      <c r="H513" s="9">
        <v>23400</v>
      </c>
      <c r="I513" s="9">
        <v>2574</v>
      </c>
      <c r="J513" s="9">
        <v>20826</v>
      </c>
      <c r="K513" s="9">
        <v>15600</v>
      </c>
      <c r="L513" s="9">
        <v>5226</v>
      </c>
      <c r="M513" s="10">
        <v>41579</v>
      </c>
      <c r="N513">
        <v>11</v>
      </c>
      <c r="O513" t="s">
        <v>31</v>
      </c>
      <c r="P513" t="s">
        <v>14</v>
      </c>
      <c r="Q513" s="15">
        <f>Table2[[#This Row],[Discounts]]/Table2[[#This Row],[Gross Sales]]</f>
        <v>0.11</v>
      </c>
    </row>
    <row r="514" spans="1:17" x14ac:dyDescent="0.35">
      <c r="A514" t="s">
        <v>10</v>
      </c>
      <c r="B514" t="s">
        <v>20</v>
      </c>
      <c r="C514" t="s">
        <v>38</v>
      </c>
      <c r="D514" t="s">
        <v>48</v>
      </c>
      <c r="E514" s="9">
        <v>2706</v>
      </c>
      <c r="F514">
        <v>3</v>
      </c>
      <c r="G514">
        <v>7</v>
      </c>
      <c r="H514" s="9">
        <v>18942</v>
      </c>
      <c r="I514" s="9">
        <v>2083.62</v>
      </c>
      <c r="J514" s="9">
        <v>16858.38</v>
      </c>
      <c r="K514" s="9">
        <v>13530</v>
      </c>
      <c r="L514" s="9">
        <v>3328.380000000001</v>
      </c>
      <c r="M514" s="10">
        <v>41579</v>
      </c>
      <c r="N514">
        <v>11</v>
      </c>
      <c r="O514" t="s">
        <v>31</v>
      </c>
      <c r="P514" t="s">
        <v>14</v>
      </c>
      <c r="Q514" s="15">
        <f>Table2[[#This Row],[Discounts]]/Table2[[#This Row],[Gross Sales]]</f>
        <v>0.11</v>
      </c>
    </row>
    <row r="515" spans="1:17" x14ac:dyDescent="0.35">
      <c r="A515" t="s">
        <v>10</v>
      </c>
      <c r="B515" t="s">
        <v>19</v>
      </c>
      <c r="C515" t="s">
        <v>39</v>
      </c>
      <c r="D515" t="s">
        <v>48</v>
      </c>
      <c r="E515" s="9">
        <v>766</v>
      </c>
      <c r="F515">
        <v>5</v>
      </c>
      <c r="G515">
        <v>350</v>
      </c>
      <c r="H515" s="9">
        <v>268100</v>
      </c>
      <c r="I515" s="9">
        <v>29491</v>
      </c>
      <c r="J515" s="9">
        <v>238609</v>
      </c>
      <c r="K515" s="9">
        <v>199160</v>
      </c>
      <c r="L515" s="9">
        <v>39449</v>
      </c>
      <c r="M515" s="10">
        <v>41640</v>
      </c>
      <c r="N515">
        <v>1</v>
      </c>
      <c r="O515" t="s">
        <v>21</v>
      </c>
      <c r="P515" t="s">
        <v>15</v>
      </c>
      <c r="Q515" s="15">
        <f>Table2[[#This Row],[Discounts]]/Table2[[#This Row],[Gross Sales]]</f>
        <v>0.11</v>
      </c>
    </row>
    <row r="516" spans="1:17" x14ac:dyDescent="0.35">
      <c r="A516" t="s">
        <v>10</v>
      </c>
      <c r="B516" t="s">
        <v>19</v>
      </c>
      <c r="C516" t="s">
        <v>39</v>
      </c>
      <c r="D516" t="s">
        <v>48</v>
      </c>
      <c r="E516" s="9">
        <v>2992</v>
      </c>
      <c r="F516">
        <v>5</v>
      </c>
      <c r="G516">
        <v>20</v>
      </c>
      <c r="H516" s="9">
        <v>59840</v>
      </c>
      <c r="I516" s="9">
        <v>6582.4</v>
      </c>
      <c r="J516" s="9">
        <v>53257.599999999999</v>
      </c>
      <c r="K516" s="9">
        <v>29920</v>
      </c>
      <c r="L516" s="9">
        <v>23337.599999999999</v>
      </c>
      <c r="M516" s="10">
        <v>41548</v>
      </c>
      <c r="N516">
        <v>10</v>
      </c>
      <c r="O516" t="s">
        <v>30</v>
      </c>
      <c r="P516" t="s">
        <v>14</v>
      </c>
      <c r="Q516" s="15">
        <f>Table2[[#This Row],[Discounts]]/Table2[[#This Row],[Gross Sales]]</f>
        <v>0.11</v>
      </c>
    </row>
    <row r="517" spans="1:17" x14ac:dyDescent="0.35">
      <c r="A517" t="s">
        <v>8</v>
      </c>
      <c r="B517" t="s">
        <v>20</v>
      </c>
      <c r="C517" t="s">
        <v>39</v>
      </c>
      <c r="D517" t="s">
        <v>48</v>
      </c>
      <c r="E517" s="9">
        <v>2157</v>
      </c>
      <c r="F517">
        <v>5</v>
      </c>
      <c r="G517">
        <v>15</v>
      </c>
      <c r="H517" s="9">
        <v>32355</v>
      </c>
      <c r="I517" s="9">
        <v>3559.05</v>
      </c>
      <c r="J517" s="9">
        <v>28795.95</v>
      </c>
      <c r="K517" s="9">
        <v>21570</v>
      </c>
      <c r="L517" s="9">
        <v>7225.9500000000007</v>
      </c>
      <c r="M517" s="10">
        <v>41974</v>
      </c>
      <c r="N517">
        <v>12</v>
      </c>
      <c r="O517" t="s">
        <v>32</v>
      </c>
      <c r="P517" t="s">
        <v>15</v>
      </c>
      <c r="Q517" s="15">
        <f>Table2[[#This Row],[Discounts]]/Table2[[#This Row],[Gross Sales]]</f>
        <v>0.11</v>
      </c>
    </row>
    <row r="518" spans="1:17" x14ac:dyDescent="0.35">
      <c r="A518" t="s">
        <v>7</v>
      </c>
      <c r="B518" t="s">
        <v>16</v>
      </c>
      <c r="C518" t="s">
        <v>40</v>
      </c>
      <c r="D518" t="s">
        <v>48</v>
      </c>
      <c r="E518" s="9">
        <v>873</v>
      </c>
      <c r="F518">
        <v>10</v>
      </c>
      <c r="G518">
        <v>300</v>
      </c>
      <c r="H518" s="9">
        <v>261900</v>
      </c>
      <c r="I518" s="9">
        <v>28809</v>
      </c>
      <c r="J518" s="9">
        <v>233091</v>
      </c>
      <c r="K518" s="9">
        <v>218250</v>
      </c>
      <c r="L518" s="9">
        <v>14841</v>
      </c>
      <c r="M518" s="10">
        <v>41640</v>
      </c>
      <c r="N518">
        <v>1</v>
      </c>
      <c r="O518" t="s">
        <v>21</v>
      </c>
      <c r="P518" t="s">
        <v>15</v>
      </c>
      <c r="Q518" s="15">
        <f>Table2[[#This Row],[Discounts]]/Table2[[#This Row],[Gross Sales]]</f>
        <v>0.11</v>
      </c>
    </row>
    <row r="519" spans="1:17" x14ac:dyDescent="0.35">
      <c r="A519" t="s">
        <v>10</v>
      </c>
      <c r="B519" t="s">
        <v>20</v>
      </c>
      <c r="C519" t="s">
        <v>40</v>
      </c>
      <c r="D519" t="s">
        <v>48</v>
      </c>
      <c r="E519" s="9">
        <v>1122</v>
      </c>
      <c r="F519">
        <v>10</v>
      </c>
      <c r="G519">
        <v>20</v>
      </c>
      <c r="H519" s="9">
        <v>22440</v>
      </c>
      <c r="I519" s="9">
        <v>2468.4</v>
      </c>
      <c r="J519" s="9">
        <v>19971.599999999999</v>
      </c>
      <c r="K519" s="9">
        <v>11220</v>
      </c>
      <c r="L519" s="9">
        <v>8751.5999999999985</v>
      </c>
      <c r="M519" s="10">
        <v>41699</v>
      </c>
      <c r="N519">
        <v>3</v>
      </c>
      <c r="O519" t="s">
        <v>23</v>
      </c>
      <c r="P519" t="s">
        <v>15</v>
      </c>
      <c r="Q519" s="15">
        <f>Table2[[#This Row],[Discounts]]/Table2[[#This Row],[Gross Sales]]</f>
        <v>0.11</v>
      </c>
    </row>
    <row r="520" spans="1:17" x14ac:dyDescent="0.35">
      <c r="A520" t="s">
        <v>10</v>
      </c>
      <c r="B520" t="s">
        <v>16</v>
      </c>
      <c r="C520" t="s">
        <v>40</v>
      </c>
      <c r="D520" t="s">
        <v>48</v>
      </c>
      <c r="E520" s="9">
        <v>2104.5</v>
      </c>
      <c r="F520">
        <v>10</v>
      </c>
      <c r="G520">
        <v>350</v>
      </c>
      <c r="H520" s="9">
        <v>736575</v>
      </c>
      <c r="I520" s="9">
        <v>81023.25</v>
      </c>
      <c r="J520" s="9">
        <v>655551.75</v>
      </c>
      <c r="K520" s="9">
        <v>547170</v>
      </c>
      <c r="L520" s="9">
        <v>108381.75</v>
      </c>
      <c r="M520" s="10">
        <v>41821</v>
      </c>
      <c r="N520">
        <v>7</v>
      </c>
      <c r="O520" t="s">
        <v>27</v>
      </c>
      <c r="P520" t="s">
        <v>15</v>
      </c>
      <c r="Q520" s="15">
        <f>Table2[[#This Row],[Discounts]]/Table2[[#This Row],[Gross Sales]]</f>
        <v>0.11</v>
      </c>
    </row>
    <row r="521" spans="1:17" x14ac:dyDescent="0.35">
      <c r="A521" t="s">
        <v>11</v>
      </c>
      <c r="B521" t="s">
        <v>16</v>
      </c>
      <c r="C521" t="s">
        <v>40</v>
      </c>
      <c r="D521" t="s">
        <v>48</v>
      </c>
      <c r="E521" s="9">
        <v>4026</v>
      </c>
      <c r="F521">
        <v>10</v>
      </c>
      <c r="G521">
        <v>12</v>
      </c>
      <c r="H521" s="9">
        <v>48312</v>
      </c>
      <c r="I521" s="9">
        <v>5314.32</v>
      </c>
      <c r="J521" s="9">
        <v>42997.68</v>
      </c>
      <c r="K521" s="9">
        <v>12078</v>
      </c>
      <c r="L521" s="9">
        <v>30919.68</v>
      </c>
      <c r="M521" s="10">
        <v>41821</v>
      </c>
      <c r="N521">
        <v>7</v>
      </c>
      <c r="O521" t="s">
        <v>27</v>
      </c>
      <c r="P521" t="s">
        <v>15</v>
      </c>
      <c r="Q521" s="15">
        <f>Table2[[#This Row],[Discounts]]/Table2[[#This Row],[Gross Sales]]</f>
        <v>0.11</v>
      </c>
    </row>
    <row r="522" spans="1:17" x14ac:dyDescent="0.35">
      <c r="A522" t="s">
        <v>11</v>
      </c>
      <c r="B522" t="s">
        <v>18</v>
      </c>
      <c r="C522" t="s">
        <v>40</v>
      </c>
      <c r="D522" t="s">
        <v>48</v>
      </c>
      <c r="E522" s="9">
        <v>2425.5</v>
      </c>
      <c r="F522">
        <v>10</v>
      </c>
      <c r="G522">
        <v>12</v>
      </c>
      <c r="H522" s="9">
        <v>29106</v>
      </c>
      <c r="I522" s="9">
        <v>3201.66</v>
      </c>
      <c r="J522" s="9">
        <v>25904.340000000004</v>
      </c>
      <c r="K522" s="9">
        <v>7276.5</v>
      </c>
      <c r="L522" s="9">
        <v>18627.840000000004</v>
      </c>
      <c r="M522" s="10">
        <v>41821</v>
      </c>
      <c r="N522">
        <v>7</v>
      </c>
      <c r="O522" t="s">
        <v>27</v>
      </c>
      <c r="P522" t="s">
        <v>15</v>
      </c>
      <c r="Q522" s="15">
        <f>Table2[[#This Row],[Discounts]]/Table2[[#This Row],[Gross Sales]]</f>
        <v>0.11</v>
      </c>
    </row>
    <row r="523" spans="1:17" x14ac:dyDescent="0.35">
      <c r="A523" t="s">
        <v>10</v>
      </c>
      <c r="B523" t="s">
        <v>16</v>
      </c>
      <c r="C523" t="s">
        <v>40</v>
      </c>
      <c r="D523" t="s">
        <v>48</v>
      </c>
      <c r="E523" s="9">
        <v>2394</v>
      </c>
      <c r="F523">
        <v>10</v>
      </c>
      <c r="G523">
        <v>20</v>
      </c>
      <c r="H523" s="9">
        <v>47880</v>
      </c>
      <c r="I523" s="9">
        <v>5266.8</v>
      </c>
      <c r="J523" s="9">
        <v>42613.2</v>
      </c>
      <c r="K523" s="9">
        <v>23940</v>
      </c>
      <c r="L523" s="9">
        <v>18673.199999999997</v>
      </c>
      <c r="M523" s="10">
        <v>41852</v>
      </c>
      <c r="N523">
        <v>8</v>
      </c>
      <c r="O523" t="s">
        <v>28</v>
      </c>
      <c r="P523" t="s">
        <v>15</v>
      </c>
      <c r="Q523" s="15">
        <f>Table2[[#This Row],[Discounts]]/Table2[[#This Row],[Gross Sales]]</f>
        <v>0.11</v>
      </c>
    </row>
    <row r="524" spans="1:17" x14ac:dyDescent="0.35">
      <c r="A524" t="s">
        <v>8</v>
      </c>
      <c r="B524" t="s">
        <v>20</v>
      </c>
      <c r="C524" t="s">
        <v>40</v>
      </c>
      <c r="D524" t="s">
        <v>48</v>
      </c>
      <c r="E524" s="9">
        <v>1984</v>
      </c>
      <c r="F524">
        <v>10</v>
      </c>
      <c r="G524">
        <v>15</v>
      </c>
      <c r="H524" s="9">
        <v>29760</v>
      </c>
      <c r="I524" s="9">
        <v>3273.6</v>
      </c>
      <c r="J524" s="9">
        <v>26486.400000000001</v>
      </c>
      <c r="K524" s="9">
        <v>19840</v>
      </c>
      <c r="L524" s="9">
        <v>6646.4000000000015</v>
      </c>
      <c r="M524" s="10">
        <v>41852</v>
      </c>
      <c r="N524">
        <v>8</v>
      </c>
      <c r="O524" t="s">
        <v>28</v>
      </c>
      <c r="P524" t="s">
        <v>15</v>
      </c>
      <c r="Q524" s="15">
        <f>Table2[[#This Row],[Discounts]]/Table2[[#This Row],[Gross Sales]]</f>
        <v>0.11</v>
      </c>
    </row>
    <row r="525" spans="1:17" x14ac:dyDescent="0.35">
      <c r="A525" t="s">
        <v>9</v>
      </c>
      <c r="B525" t="s">
        <v>18</v>
      </c>
      <c r="C525" t="s">
        <v>40</v>
      </c>
      <c r="D525" t="s">
        <v>48</v>
      </c>
      <c r="E525" s="9">
        <v>2441</v>
      </c>
      <c r="F525">
        <v>10</v>
      </c>
      <c r="G525">
        <v>125</v>
      </c>
      <c r="H525" s="9">
        <v>305125</v>
      </c>
      <c r="I525" s="9">
        <v>33563.75</v>
      </c>
      <c r="J525" s="9">
        <v>271561.25</v>
      </c>
      <c r="K525" s="9">
        <v>292920</v>
      </c>
      <c r="L525" s="9">
        <v>-21358.75</v>
      </c>
      <c r="M525" s="10">
        <v>41913</v>
      </c>
      <c r="N525">
        <v>10</v>
      </c>
      <c r="O525" t="s">
        <v>30</v>
      </c>
      <c r="P525" t="s">
        <v>15</v>
      </c>
      <c r="Q525" s="15">
        <f>Table2[[#This Row],[Discounts]]/Table2[[#This Row],[Gross Sales]]</f>
        <v>0.11</v>
      </c>
    </row>
    <row r="526" spans="1:17" x14ac:dyDescent="0.35">
      <c r="A526" t="s">
        <v>10</v>
      </c>
      <c r="B526" t="s">
        <v>19</v>
      </c>
      <c r="C526" t="s">
        <v>40</v>
      </c>
      <c r="D526" t="s">
        <v>48</v>
      </c>
      <c r="E526" s="9">
        <v>2992</v>
      </c>
      <c r="F526">
        <v>10</v>
      </c>
      <c r="G526">
        <v>20</v>
      </c>
      <c r="H526" s="9">
        <v>59840</v>
      </c>
      <c r="I526" s="9">
        <v>6582.4</v>
      </c>
      <c r="J526" s="9">
        <v>53257.599999999999</v>
      </c>
      <c r="K526" s="9">
        <v>29920</v>
      </c>
      <c r="L526" s="9">
        <v>23337.599999999999</v>
      </c>
      <c r="M526" s="10">
        <v>41548</v>
      </c>
      <c r="N526">
        <v>10</v>
      </c>
      <c r="O526" t="s">
        <v>30</v>
      </c>
      <c r="P526" t="s">
        <v>14</v>
      </c>
      <c r="Q526" s="15">
        <f>Table2[[#This Row],[Discounts]]/Table2[[#This Row],[Gross Sales]]</f>
        <v>0.11</v>
      </c>
    </row>
    <row r="527" spans="1:17" x14ac:dyDescent="0.35">
      <c r="A527" t="s">
        <v>7</v>
      </c>
      <c r="B527" t="s">
        <v>16</v>
      </c>
      <c r="C527" t="s">
        <v>40</v>
      </c>
      <c r="D527" t="s">
        <v>48</v>
      </c>
      <c r="E527" s="9">
        <v>1366</v>
      </c>
      <c r="F527">
        <v>10</v>
      </c>
      <c r="G527">
        <v>300</v>
      </c>
      <c r="H527" s="9">
        <v>409800</v>
      </c>
      <c r="I527" s="9">
        <v>45078</v>
      </c>
      <c r="J527" s="9">
        <v>364722</v>
      </c>
      <c r="K527" s="9">
        <v>341500</v>
      </c>
      <c r="L527" s="9">
        <v>23222</v>
      </c>
      <c r="M527" s="10">
        <v>41944</v>
      </c>
      <c r="N527">
        <v>11</v>
      </c>
      <c r="O527" t="s">
        <v>31</v>
      </c>
      <c r="P527" t="s">
        <v>15</v>
      </c>
      <c r="Q527" s="15">
        <f>Table2[[#This Row],[Discounts]]/Table2[[#This Row],[Gross Sales]]</f>
        <v>0.11</v>
      </c>
    </row>
    <row r="528" spans="1:17" x14ac:dyDescent="0.35">
      <c r="A528" t="s">
        <v>10</v>
      </c>
      <c r="B528" t="s">
        <v>18</v>
      </c>
      <c r="C528" t="s">
        <v>41</v>
      </c>
      <c r="D528" t="s">
        <v>48</v>
      </c>
      <c r="E528" s="9">
        <v>2805</v>
      </c>
      <c r="F528">
        <v>120</v>
      </c>
      <c r="G528">
        <v>20</v>
      </c>
      <c r="H528" s="9">
        <v>56100</v>
      </c>
      <c r="I528" s="9">
        <v>6171</v>
      </c>
      <c r="J528" s="9">
        <v>49929</v>
      </c>
      <c r="K528" s="9">
        <v>28050</v>
      </c>
      <c r="L528" s="9">
        <v>21879</v>
      </c>
      <c r="M528" s="10">
        <v>41518</v>
      </c>
      <c r="N528">
        <v>9</v>
      </c>
      <c r="O528" t="s">
        <v>29</v>
      </c>
      <c r="P528" t="s">
        <v>14</v>
      </c>
      <c r="Q528" s="15">
        <f>Table2[[#This Row],[Discounts]]/Table2[[#This Row],[Gross Sales]]</f>
        <v>0.11</v>
      </c>
    </row>
    <row r="529" spans="1:17" x14ac:dyDescent="0.35">
      <c r="A529" t="s">
        <v>8</v>
      </c>
      <c r="B529" t="s">
        <v>20</v>
      </c>
      <c r="C529" t="s">
        <v>41</v>
      </c>
      <c r="D529" t="s">
        <v>48</v>
      </c>
      <c r="E529" s="9">
        <v>655</v>
      </c>
      <c r="F529">
        <v>120</v>
      </c>
      <c r="G529">
        <v>15</v>
      </c>
      <c r="H529" s="9">
        <v>9825</v>
      </c>
      <c r="I529" s="9">
        <v>1080.75</v>
      </c>
      <c r="J529" s="9">
        <v>8744.25</v>
      </c>
      <c r="K529" s="9">
        <v>6550</v>
      </c>
      <c r="L529" s="9">
        <v>2194.25</v>
      </c>
      <c r="M529" s="10">
        <v>41518</v>
      </c>
      <c r="N529">
        <v>9</v>
      </c>
      <c r="O529" t="s">
        <v>29</v>
      </c>
      <c r="P529" t="s">
        <v>14</v>
      </c>
      <c r="Q529" s="15">
        <f>Table2[[#This Row],[Discounts]]/Table2[[#This Row],[Gross Sales]]</f>
        <v>0.11</v>
      </c>
    </row>
    <row r="530" spans="1:17" x14ac:dyDescent="0.35">
      <c r="A530" t="s">
        <v>10</v>
      </c>
      <c r="B530" t="s">
        <v>20</v>
      </c>
      <c r="C530" t="s">
        <v>41</v>
      </c>
      <c r="D530" t="s">
        <v>48</v>
      </c>
      <c r="E530" s="9">
        <v>344</v>
      </c>
      <c r="F530">
        <v>120</v>
      </c>
      <c r="G530">
        <v>350</v>
      </c>
      <c r="H530" s="9">
        <v>120400</v>
      </c>
      <c r="I530" s="9">
        <v>13244</v>
      </c>
      <c r="J530" s="9">
        <v>107156</v>
      </c>
      <c r="K530" s="9">
        <v>89440</v>
      </c>
      <c r="L530" s="9">
        <v>17716</v>
      </c>
      <c r="M530" s="10">
        <v>41548</v>
      </c>
      <c r="N530">
        <v>10</v>
      </c>
      <c r="O530" t="s">
        <v>30</v>
      </c>
      <c r="P530" t="s">
        <v>14</v>
      </c>
      <c r="Q530" s="15">
        <f>Table2[[#This Row],[Discounts]]/Table2[[#This Row],[Gross Sales]]</f>
        <v>0.11</v>
      </c>
    </row>
    <row r="531" spans="1:17" x14ac:dyDescent="0.35">
      <c r="A531" t="s">
        <v>10</v>
      </c>
      <c r="B531" t="s">
        <v>16</v>
      </c>
      <c r="C531" t="s">
        <v>41</v>
      </c>
      <c r="D531" t="s">
        <v>48</v>
      </c>
      <c r="E531" s="9">
        <v>1808</v>
      </c>
      <c r="F531">
        <v>120</v>
      </c>
      <c r="G531">
        <v>7</v>
      </c>
      <c r="H531" s="9">
        <v>12656</v>
      </c>
      <c r="I531" s="9">
        <v>1392.16</v>
      </c>
      <c r="J531" s="9">
        <v>11263.84</v>
      </c>
      <c r="K531" s="9">
        <v>9040</v>
      </c>
      <c r="L531" s="9">
        <v>2223.84</v>
      </c>
      <c r="M531" s="10">
        <v>41944</v>
      </c>
      <c r="N531">
        <v>11</v>
      </c>
      <c r="O531" t="s">
        <v>31</v>
      </c>
      <c r="P531" t="s">
        <v>15</v>
      </c>
      <c r="Q531" s="15">
        <f>Table2[[#This Row],[Discounts]]/Table2[[#This Row],[Gross Sales]]</f>
        <v>0.11</v>
      </c>
    </row>
    <row r="532" spans="1:17" x14ac:dyDescent="0.35">
      <c r="A532" t="s">
        <v>11</v>
      </c>
      <c r="B532" t="s">
        <v>18</v>
      </c>
      <c r="C532" t="s">
        <v>42</v>
      </c>
      <c r="D532" t="s">
        <v>48</v>
      </c>
      <c r="E532" s="9">
        <v>1734</v>
      </c>
      <c r="F532">
        <v>250</v>
      </c>
      <c r="G532">
        <v>12</v>
      </c>
      <c r="H532" s="9">
        <v>20808</v>
      </c>
      <c r="I532" s="9">
        <v>2288.88</v>
      </c>
      <c r="J532" s="9">
        <v>18519.12</v>
      </c>
      <c r="K532" s="9">
        <v>5202</v>
      </c>
      <c r="L532" s="9">
        <v>13317.119999999999</v>
      </c>
      <c r="M532" s="10">
        <v>41640</v>
      </c>
      <c r="N532">
        <v>1</v>
      </c>
      <c r="O532" t="s">
        <v>21</v>
      </c>
      <c r="P532" t="s">
        <v>15</v>
      </c>
      <c r="Q532" s="15">
        <f>Table2[[#This Row],[Discounts]]/Table2[[#This Row],[Gross Sales]]</f>
        <v>0.11</v>
      </c>
    </row>
    <row r="533" spans="1:17" x14ac:dyDescent="0.35">
      <c r="A533" t="s">
        <v>9</v>
      </c>
      <c r="B533" t="s">
        <v>20</v>
      </c>
      <c r="C533" t="s">
        <v>42</v>
      </c>
      <c r="D533" t="s">
        <v>48</v>
      </c>
      <c r="E533" s="9">
        <v>554</v>
      </c>
      <c r="F533">
        <v>250</v>
      </c>
      <c r="G533">
        <v>125</v>
      </c>
      <c r="H533" s="9">
        <v>69250</v>
      </c>
      <c r="I533" s="9">
        <v>7617.5</v>
      </c>
      <c r="J533" s="9">
        <v>61632.5</v>
      </c>
      <c r="K533" s="9">
        <v>66480</v>
      </c>
      <c r="L533" s="9">
        <v>-4847.5</v>
      </c>
      <c r="M533" s="10">
        <v>41640</v>
      </c>
      <c r="N533">
        <v>1</v>
      </c>
      <c r="O533" t="s">
        <v>21</v>
      </c>
      <c r="P533" t="s">
        <v>15</v>
      </c>
      <c r="Q533" s="15">
        <f>Table2[[#This Row],[Discounts]]/Table2[[#This Row],[Gross Sales]]</f>
        <v>0.11</v>
      </c>
    </row>
    <row r="534" spans="1:17" x14ac:dyDescent="0.35">
      <c r="A534" t="s">
        <v>10</v>
      </c>
      <c r="B534" t="s">
        <v>16</v>
      </c>
      <c r="C534" t="s">
        <v>42</v>
      </c>
      <c r="D534" t="s">
        <v>48</v>
      </c>
      <c r="E534" s="9">
        <v>2935</v>
      </c>
      <c r="F534">
        <v>250</v>
      </c>
      <c r="G534">
        <v>20</v>
      </c>
      <c r="H534" s="9">
        <v>58700</v>
      </c>
      <c r="I534" s="9">
        <v>6457</v>
      </c>
      <c r="J534" s="9">
        <v>52243</v>
      </c>
      <c r="K534" s="9">
        <v>29350</v>
      </c>
      <c r="L534" s="9">
        <v>22893</v>
      </c>
      <c r="M534" s="10">
        <v>41579</v>
      </c>
      <c r="N534">
        <v>11</v>
      </c>
      <c r="O534" t="s">
        <v>31</v>
      </c>
      <c r="P534" t="s">
        <v>14</v>
      </c>
      <c r="Q534" s="15">
        <f>Table2[[#This Row],[Discounts]]/Table2[[#This Row],[Gross Sales]]</f>
        <v>0.11</v>
      </c>
    </row>
    <row r="535" spans="1:17" x14ac:dyDescent="0.35">
      <c r="A535" t="s">
        <v>9</v>
      </c>
      <c r="B535" t="s">
        <v>19</v>
      </c>
      <c r="C535" t="s">
        <v>43</v>
      </c>
      <c r="D535" t="s">
        <v>48</v>
      </c>
      <c r="E535" s="9">
        <v>3165</v>
      </c>
      <c r="F535">
        <v>260</v>
      </c>
      <c r="G535">
        <v>125</v>
      </c>
      <c r="H535" s="9">
        <v>395625</v>
      </c>
      <c r="I535" s="9">
        <v>43518.75</v>
      </c>
      <c r="J535" s="9">
        <v>352106.25</v>
      </c>
      <c r="K535" s="9">
        <v>379800</v>
      </c>
      <c r="L535" s="9">
        <v>-27693.75</v>
      </c>
      <c r="M535" s="10">
        <v>41640</v>
      </c>
      <c r="N535">
        <v>1</v>
      </c>
      <c r="O535" t="s">
        <v>21</v>
      </c>
      <c r="P535" t="s">
        <v>15</v>
      </c>
      <c r="Q535" s="15">
        <f>Table2[[#This Row],[Discounts]]/Table2[[#This Row],[Gross Sales]]</f>
        <v>0.11</v>
      </c>
    </row>
    <row r="536" spans="1:17" x14ac:dyDescent="0.35">
      <c r="A536" t="s">
        <v>10</v>
      </c>
      <c r="B536" t="s">
        <v>20</v>
      </c>
      <c r="C536" t="s">
        <v>43</v>
      </c>
      <c r="D536" t="s">
        <v>48</v>
      </c>
      <c r="E536" s="9">
        <v>2629</v>
      </c>
      <c r="F536">
        <v>260</v>
      </c>
      <c r="G536">
        <v>20</v>
      </c>
      <c r="H536" s="9">
        <v>52580</v>
      </c>
      <c r="I536" s="9">
        <v>5783.8</v>
      </c>
      <c r="J536" s="9">
        <v>46796.2</v>
      </c>
      <c r="K536" s="9">
        <v>26290</v>
      </c>
      <c r="L536" s="9">
        <v>20506.199999999997</v>
      </c>
      <c r="M536" s="10">
        <v>41640</v>
      </c>
      <c r="N536">
        <v>1</v>
      </c>
      <c r="O536" t="s">
        <v>21</v>
      </c>
      <c r="P536" t="s">
        <v>15</v>
      </c>
      <c r="Q536" s="15">
        <f>Table2[[#This Row],[Discounts]]/Table2[[#This Row],[Gross Sales]]</f>
        <v>0.11</v>
      </c>
    </row>
    <row r="537" spans="1:17" x14ac:dyDescent="0.35">
      <c r="A537" t="s">
        <v>9</v>
      </c>
      <c r="B537" t="s">
        <v>18</v>
      </c>
      <c r="C537" t="s">
        <v>43</v>
      </c>
      <c r="D537" t="s">
        <v>48</v>
      </c>
      <c r="E537" s="9">
        <v>1433</v>
      </c>
      <c r="F537">
        <v>260</v>
      </c>
      <c r="G537">
        <v>125</v>
      </c>
      <c r="H537" s="9">
        <v>179125</v>
      </c>
      <c r="I537" s="9">
        <v>19703.75</v>
      </c>
      <c r="J537" s="9">
        <v>159421.25</v>
      </c>
      <c r="K537" s="9">
        <v>171960</v>
      </c>
      <c r="L537" s="9">
        <v>-12538.75</v>
      </c>
      <c r="M537" s="10">
        <v>41760</v>
      </c>
      <c r="N537">
        <v>5</v>
      </c>
      <c r="O537" t="s">
        <v>25</v>
      </c>
      <c r="P537" t="s">
        <v>15</v>
      </c>
      <c r="Q537" s="15">
        <f>Table2[[#This Row],[Discounts]]/Table2[[#This Row],[Gross Sales]]</f>
        <v>0.11</v>
      </c>
    </row>
    <row r="538" spans="1:17" x14ac:dyDescent="0.35">
      <c r="A538" t="s">
        <v>9</v>
      </c>
      <c r="B538" t="s">
        <v>20</v>
      </c>
      <c r="C538" t="s">
        <v>43</v>
      </c>
      <c r="D538" t="s">
        <v>48</v>
      </c>
      <c r="E538" s="9">
        <v>947</v>
      </c>
      <c r="F538">
        <v>260</v>
      </c>
      <c r="G538">
        <v>125</v>
      </c>
      <c r="H538" s="9">
        <v>118375</v>
      </c>
      <c r="I538" s="9">
        <v>13021.25</v>
      </c>
      <c r="J538" s="9">
        <v>105353.75</v>
      </c>
      <c r="K538" s="9">
        <v>113640</v>
      </c>
      <c r="L538" s="9">
        <v>-8286.25</v>
      </c>
      <c r="M538" s="10">
        <v>41518</v>
      </c>
      <c r="N538">
        <v>9</v>
      </c>
      <c r="O538" t="s">
        <v>29</v>
      </c>
      <c r="P538" t="s">
        <v>14</v>
      </c>
      <c r="Q538" s="15">
        <f>Table2[[#This Row],[Discounts]]/Table2[[#This Row],[Gross Sales]]</f>
        <v>0.11</v>
      </c>
    </row>
    <row r="539" spans="1:17" x14ac:dyDescent="0.35">
      <c r="A539" t="s">
        <v>10</v>
      </c>
      <c r="B539" t="s">
        <v>20</v>
      </c>
      <c r="C539" t="s">
        <v>43</v>
      </c>
      <c r="D539" t="s">
        <v>48</v>
      </c>
      <c r="E539" s="9">
        <v>344</v>
      </c>
      <c r="F539">
        <v>260</v>
      </c>
      <c r="G539">
        <v>350</v>
      </c>
      <c r="H539" s="9">
        <v>120400</v>
      </c>
      <c r="I539" s="9">
        <v>13244</v>
      </c>
      <c r="J539" s="9">
        <v>107156</v>
      </c>
      <c r="K539" s="9">
        <v>89440</v>
      </c>
      <c r="L539" s="9">
        <v>17716</v>
      </c>
      <c r="M539" s="10">
        <v>41548</v>
      </c>
      <c r="N539">
        <v>10</v>
      </c>
      <c r="O539" t="s">
        <v>30</v>
      </c>
      <c r="P539" t="s">
        <v>14</v>
      </c>
      <c r="Q539" s="15">
        <f>Table2[[#This Row],[Discounts]]/Table2[[#This Row],[Gross Sales]]</f>
        <v>0.11</v>
      </c>
    </row>
    <row r="540" spans="1:17" x14ac:dyDescent="0.35">
      <c r="A540" t="s">
        <v>8</v>
      </c>
      <c r="B540" t="s">
        <v>20</v>
      </c>
      <c r="C540" t="s">
        <v>43</v>
      </c>
      <c r="D540" t="s">
        <v>48</v>
      </c>
      <c r="E540" s="9">
        <v>2157</v>
      </c>
      <c r="F540">
        <v>260</v>
      </c>
      <c r="G540">
        <v>15</v>
      </c>
      <c r="H540" s="9">
        <v>32355</v>
      </c>
      <c r="I540" s="9">
        <v>3559.05</v>
      </c>
      <c r="J540" s="9">
        <v>28795.95</v>
      </c>
      <c r="K540" s="9">
        <v>21570</v>
      </c>
      <c r="L540" s="9">
        <v>7225.9500000000007</v>
      </c>
      <c r="M540" s="10">
        <v>41974</v>
      </c>
      <c r="N540">
        <v>12</v>
      </c>
      <c r="O540" t="s">
        <v>32</v>
      </c>
      <c r="P540" t="s">
        <v>15</v>
      </c>
      <c r="Q540" s="15">
        <f>Table2[[#This Row],[Discounts]]/Table2[[#This Row],[Gross Sales]]</f>
        <v>0.11</v>
      </c>
    </row>
    <row r="541" spans="1:17" x14ac:dyDescent="0.35">
      <c r="A541" t="s">
        <v>10</v>
      </c>
      <c r="B541" t="s">
        <v>92</v>
      </c>
      <c r="C541" t="s">
        <v>40</v>
      </c>
      <c r="D541" t="s">
        <v>48</v>
      </c>
      <c r="E541" s="9">
        <v>380</v>
      </c>
      <c r="F541">
        <v>10</v>
      </c>
      <c r="G541">
        <v>7</v>
      </c>
      <c r="H541" s="9">
        <v>2660</v>
      </c>
      <c r="I541" s="9">
        <v>292.60000000000002</v>
      </c>
      <c r="J541" s="9">
        <v>2367.4</v>
      </c>
      <c r="K541" s="9">
        <v>1900</v>
      </c>
      <c r="L541" s="9">
        <v>467.40000000000009</v>
      </c>
      <c r="M541" s="10">
        <v>41518</v>
      </c>
      <c r="N541">
        <v>9</v>
      </c>
      <c r="O541" t="s">
        <v>29</v>
      </c>
      <c r="P541" t="s">
        <v>14</v>
      </c>
      <c r="Q541" s="15">
        <f>Table2[[#This Row],[Discounts]]/Table2[[#This Row],[Gross Sales]]</f>
        <v>0.11000000000000001</v>
      </c>
    </row>
    <row r="542" spans="1:17" x14ac:dyDescent="0.35">
      <c r="A542" t="s">
        <v>10</v>
      </c>
      <c r="B542" t="s">
        <v>20</v>
      </c>
      <c r="C542" t="s">
        <v>38</v>
      </c>
      <c r="D542" t="s">
        <v>48</v>
      </c>
      <c r="E542" s="9">
        <v>886</v>
      </c>
      <c r="F542">
        <v>3</v>
      </c>
      <c r="G542">
        <v>350</v>
      </c>
      <c r="H542" s="9">
        <v>310100</v>
      </c>
      <c r="I542" s="9">
        <v>37212</v>
      </c>
      <c r="J542" s="9">
        <v>272888</v>
      </c>
      <c r="K542" s="9">
        <v>230360</v>
      </c>
      <c r="L542" s="9">
        <v>42528</v>
      </c>
      <c r="M542" s="10">
        <v>41791</v>
      </c>
      <c r="N542">
        <v>6</v>
      </c>
      <c r="O542" t="s">
        <v>26</v>
      </c>
      <c r="P542" t="s">
        <v>15</v>
      </c>
      <c r="Q542" s="15">
        <f>Table2[[#This Row],[Discounts]]/Table2[[#This Row],[Gross Sales]]</f>
        <v>0.12</v>
      </c>
    </row>
    <row r="543" spans="1:17" x14ac:dyDescent="0.35">
      <c r="A543" t="s">
        <v>9</v>
      </c>
      <c r="B543" t="s">
        <v>16</v>
      </c>
      <c r="C543" t="s">
        <v>38</v>
      </c>
      <c r="D543" t="s">
        <v>48</v>
      </c>
      <c r="E543" s="9">
        <v>2416</v>
      </c>
      <c r="F543">
        <v>3</v>
      </c>
      <c r="G543">
        <v>125</v>
      </c>
      <c r="H543" s="9">
        <v>302000</v>
      </c>
      <c r="I543" s="9">
        <v>36240</v>
      </c>
      <c r="J543" s="9">
        <v>265760</v>
      </c>
      <c r="K543" s="9">
        <v>289920</v>
      </c>
      <c r="L543" s="9">
        <v>-24160</v>
      </c>
      <c r="M543" s="10">
        <v>41518</v>
      </c>
      <c r="N543">
        <v>9</v>
      </c>
      <c r="O543" t="s">
        <v>29</v>
      </c>
      <c r="P543" t="s">
        <v>14</v>
      </c>
      <c r="Q543" s="15">
        <f>Table2[[#This Row],[Discounts]]/Table2[[#This Row],[Gross Sales]]</f>
        <v>0.12</v>
      </c>
    </row>
    <row r="544" spans="1:17" x14ac:dyDescent="0.35">
      <c r="A544" t="s">
        <v>9</v>
      </c>
      <c r="B544" t="s">
        <v>20</v>
      </c>
      <c r="C544" t="s">
        <v>38</v>
      </c>
      <c r="D544" t="s">
        <v>48</v>
      </c>
      <c r="E544" s="9">
        <v>2156</v>
      </c>
      <c r="F544">
        <v>3</v>
      </c>
      <c r="G544">
        <v>125</v>
      </c>
      <c r="H544" s="9">
        <v>269500</v>
      </c>
      <c r="I544" s="9">
        <v>32340</v>
      </c>
      <c r="J544" s="9">
        <v>237160</v>
      </c>
      <c r="K544" s="9">
        <v>258720</v>
      </c>
      <c r="L544" s="9">
        <v>-21560</v>
      </c>
      <c r="M544" s="10">
        <v>41913</v>
      </c>
      <c r="N544">
        <v>10</v>
      </c>
      <c r="O544" t="s">
        <v>30</v>
      </c>
      <c r="P544" t="s">
        <v>15</v>
      </c>
      <c r="Q544" s="15">
        <f>Table2[[#This Row],[Discounts]]/Table2[[#This Row],[Gross Sales]]</f>
        <v>0.12</v>
      </c>
    </row>
    <row r="545" spans="1:17" x14ac:dyDescent="0.35">
      <c r="A545" t="s">
        <v>8</v>
      </c>
      <c r="B545" t="s">
        <v>16</v>
      </c>
      <c r="C545" t="s">
        <v>38</v>
      </c>
      <c r="D545" t="s">
        <v>48</v>
      </c>
      <c r="E545" s="9">
        <v>2689</v>
      </c>
      <c r="F545">
        <v>3</v>
      </c>
      <c r="G545">
        <v>15</v>
      </c>
      <c r="H545" s="9">
        <v>40335</v>
      </c>
      <c r="I545" s="9">
        <v>4840.2</v>
      </c>
      <c r="J545" s="9">
        <v>35494.800000000003</v>
      </c>
      <c r="K545" s="9">
        <v>26890</v>
      </c>
      <c r="L545" s="9">
        <v>8604.8000000000029</v>
      </c>
      <c r="M545" s="10">
        <v>41944</v>
      </c>
      <c r="N545">
        <v>11</v>
      </c>
      <c r="O545" t="s">
        <v>31</v>
      </c>
      <c r="P545" t="s">
        <v>15</v>
      </c>
      <c r="Q545" s="15">
        <f>Table2[[#This Row],[Discounts]]/Table2[[#This Row],[Gross Sales]]</f>
        <v>0.12</v>
      </c>
    </row>
    <row r="546" spans="1:17" x14ac:dyDescent="0.35">
      <c r="A546" t="s">
        <v>8</v>
      </c>
      <c r="B546" t="s">
        <v>92</v>
      </c>
      <c r="C546" t="s">
        <v>39</v>
      </c>
      <c r="D546" t="s">
        <v>48</v>
      </c>
      <c r="E546" s="9">
        <v>677</v>
      </c>
      <c r="F546">
        <v>5</v>
      </c>
      <c r="G546">
        <v>15</v>
      </c>
      <c r="H546" s="9">
        <v>10155</v>
      </c>
      <c r="I546" s="9">
        <v>1218.5999999999999</v>
      </c>
      <c r="J546" s="9">
        <v>8936.4</v>
      </c>
      <c r="K546" s="9">
        <v>6770</v>
      </c>
      <c r="L546" s="9">
        <v>2166.3999999999996</v>
      </c>
      <c r="M546" s="10">
        <v>41699</v>
      </c>
      <c r="N546">
        <v>3</v>
      </c>
      <c r="O546" t="s">
        <v>23</v>
      </c>
      <c r="P546" t="s">
        <v>15</v>
      </c>
      <c r="Q546" s="15">
        <f>Table2[[#This Row],[Discounts]]/Table2[[#This Row],[Gross Sales]]</f>
        <v>0.12</v>
      </c>
    </row>
    <row r="547" spans="1:17" x14ac:dyDescent="0.35">
      <c r="A547" t="s">
        <v>7</v>
      </c>
      <c r="B547" t="s">
        <v>18</v>
      </c>
      <c r="C547" t="s">
        <v>39</v>
      </c>
      <c r="D547" t="s">
        <v>48</v>
      </c>
      <c r="E547" s="9">
        <v>1773</v>
      </c>
      <c r="F547">
        <v>5</v>
      </c>
      <c r="G547">
        <v>300</v>
      </c>
      <c r="H547" s="9">
        <v>531900</v>
      </c>
      <c r="I547" s="9">
        <v>63828</v>
      </c>
      <c r="J547" s="9">
        <v>468072</v>
      </c>
      <c r="K547" s="9">
        <v>443250</v>
      </c>
      <c r="L547" s="9">
        <v>24822</v>
      </c>
      <c r="M547" s="10">
        <v>41730</v>
      </c>
      <c r="N547">
        <v>4</v>
      </c>
      <c r="O547" t="s">
        <v>24</v>
      </c>
      <c r="P547" t="s">
        <v>15</v>
      </c>
      <c r="Q547" s="15">
        <f>Table2[[#This Row],[Discounts]]/Table2[[#This Row],[Gross Sales]]</f>
        <v>0.12</v>
      </c>
    </row>
    <row r="548" spans="1:17" x14ac:dyDescent="0.35">
      <c r="A548" t="s">
        <v>10</v>
      </c>
      <c r="B548" t="s">
        <v>20</v>
      </c>
      <c r="C548" t="s">
        <v>39</v>
      </c>
      <c r="D548" t="s">
        <v>48</v>
      </c>
      <c r="E548" s="9">
        <v>2420</v>
      </c>
      <c r="F548">
        <v>5</v>
      </c>
      <c r="G548">
        <v>7</v>
      </c>
      <c r="H548" s="9">
        <v>16940</v>
      </c>
      <c r="I548" s="9">
        <v>2032.8</v>
      </c>
      <c r="J548" s="9">
        <v>14907.2</v>
      </c>
      <c r="K548" s="9">
        <v>12100</v>
      </c>
      <c r="L548" s="9">
        <v>2807.2000000000007</v>
      </c>
      <c r="M548" s="10">
        <v>41883</v>
      </c>
      <c r="N548">
        <v>9</v>
      </c>
      <c r="O548" t="s">
        <v>29</v>
      </c>
      <c r="P548" t="s">
        <v>15</v>
      </c>
      <c r="Q548" s="15">
        <f>Table2[[#This Row],[Discounts]]/Table2[[#This Row],[Gross Sales]]</f>
        <v>0.12</v>
      </c>
    </row>
    <row r="549" spans="1:17" x14ac:dyDescent="0.35">
      <c r="A549" t="s">
        <v>10</v>
      </c>
      <c r="B549" t="s">
        <v>16</v>
      </c>
      <c r="C549" t="s">
        <v>39</v>
      </c>
      <c r="D549" t="s">
        <v>48</v>
      </c>
      <c r="E549" s="9">
        <v>2734</v>
      </c>
      <c r="F549">
        <v>5</v>
      </c>
      <c r="G549">
        <v>7</v>
      </c>
      <c r="H549" s="9">
        <v>19138</v>
      </c>
      <c r="I549" s="9">
        <v>2296.56</v>
      </c>
      <c r="J549" s="9">
        <v>16841.439999999999</v>
      </c>
      <c r="K549" s="9">
        <v>13670</v>
      </c>
      <c r="L549" s="9">
        <v>3171.4399999999987</v>
      </c>
      <c r="M549" s="10">
        <v>41913</v>
      </c>
      <c r="N549">
        <v>10</v>
      </c>
      <c r="O549" t="s">
        <v>30</v>
      </c>
      <c r="P549" t="s">
        <v>15</v>
      </c>
      <c r="Q549" s="15">
        <f>Table2[[#This Row],[Discounts]]/Table2[[#This Row],[Gross Sales]]</f>
        <v>0.12</v>
      </c>
    </row>
    <row r="550" spans="1:17" x14ac:dyDescent="0.35">
      <c r="A550" t="s">
        <v>10</v>
      </c>
      <c r="B550" t="s">
        <v>20</v>
      </c>
      <c r="C550" t="s">
        <v>39</v>
      </c>
      <c r="D550" t="s">
        <v>48</v>
      </c>
      <c r="E550" s="9">
        <v>1715</v>
      </c>
      <c r="F550">
        <v>5</v>
      </c>
      <c r="G550">
        <v>20</v>
      </c>
      <c r="H550" s="9">
        <v>34300</v>
      </c>
      <c r="I550" s="9">
        <v>4116</v>
      </c>
      <c r="J550" s="9">
        <v>30184</v>
      </c>
      <c r="K550" s="9">
        <v>17150</v>
      </c>
      <c r="L550" s="9">
        <v>13034</v>
      </c>
      <c r="M550" s="10">
        <v>41548</v>
      </c>
      <c r="N550">
        <v>10</v>
      </c>
      <c r="O550" t="s">
        <v>30</v>
      </c>
      <c r="P550" t="s">
        <v>14</v>
      </c>
      <c r="Q550" s="15">
        <f>Table2[[#This Row],[Discounts]]/Table2[[#This Row],[Gross Sales]]</f>
        <v>0.12</v>
      </c>
    </row>
    <row r="551" spans="1:17" x14ac:dyDescent="0.35">
      <c r="A551" t="s">
        <v>7</v>
      </c>
      <c r="B551" t="s">
        <v>18</v>
      </c>
      <c r="C551" t="s">
        <v>39</v>
      </c>
      <c r="D551" t="s">
        <v>48</v>
      </c>
      <c r="E551" s="9">
        <v>1186</v>
      </c>
      <c r="F551">
        <v>5</v>
      </c>
      <c r="G551">
        <v>300</v>
      </c>
      <c r="H551" s="9">
        <v>355800</v>
      </c>
      <c r="I551" s="9">
        <v>42696</v>
      </c>
      <c r="J551" s="9">
        <v>313104</v>
      </c>
      <c r="K551" s="9">
        <v>296500</v>
      </c>
      <c r="L551" s="9">
        <v>16604</v>
      </c>
      <c r="M551" s="10">
        <v>41609</v>
      </c>
      <c r="N551">
        <v>12</v>
      </c>
      <c r="O551" t="s">
        <v>32</v>
      </c>
      <c r="P551" t="s">
        <v>14</v>
      </c>
      <c r="Q551" s="15">
        <f>Table2[[#This Row],[Discounts]]/Table2[[#This Row],[Gross Sales]]</f>
        <v>0.12</v>
      </c>
    </row>
    <row r="552" spans="1:17" x14ac:dyDescent="0.35">
      <c r="A552" t="s">
        <v>7</v>
      </c>
      <c r="B552" t="s">
        <v>92</v>
      </c>
      <c r="C552" t="s">
        <v>40</v>
      </c>
      <c r="D552" t="s">
        <v>48</v>
      </c>
      <c r="E552" s="9">
        <v>3495</v>
      </c>
      <c r="F552">
        <v>10</v>
      </c>
      <c r="G552">
        <v>300</v>
      </c>
      <c r="H552" s="9">
        <v>1048500</v>
      </c>
      <c r="I552" s="9">
        <v>125820</v>
      </c>
      <c r="J552" s="9">
        <v>922680</v>
      </c>
      <c r="K552" s="9">
        <v>873750</v>
      </c>
      <c r="L552" s="9">
        <v>48930</v>
      </c>
      <c r="M552" s="10">
        <v>41640</v>
      </c>
      <c r="N552">
        <v>1</v>
      </c>
      <c r="O552" t="s">
        <v>21</v>
      </c>
      <c r="P552" t="s">
        <v>15</v>
      </c>
      <c r="Q552" s="15">
        <f>Table2[[#This Row],[Discounts]]/Table2[[#This Row],[Gross Sales]]</f>
        <v>0.12</v>
      </c>
    </row>
    <row r="553" spans="1:17" x14ac:dyDescent="0.35">
      <c r="A553" t="s">
        <v>10</v>
      </c>
      <c r="B553" t="s">
        <v>20</v>
      </c>
      <c r="C553" t="s">
        <v>40</v>
      </c>
      <c r="D553" t="s">
        <v>48</v>
      </c>
      <c r="E553" s="9">
        <v>886</v>
      </c>
      <c r="F553">
        <v>10</v>
      </c>
      <c r="G553">
        <v>350</v>
      </c>
      <c r="H553" s="9">
        <v>310100</v>
      </c>
      <c r="I553" s="9">
        <v>37212</v>
      </c>
      <c r="J553" s="9">
        <v>272888</v>
      </c>
      <c r="K553" s="9">
        <v>230360</v>
      </c>
      <c r="L553" s="9">
        <v>42528</v>
      </c>
      <c r="M553" s="10">
        <v>41791</v>
      </c>
      <c r="N553">
        <v>6</v>
      </c>
      <c r="O553" t="s">
        <v>26</v>
      </c>
      <c r="P553" t="s">
        <v>15</v>
      </c>
      <c r="Q553" s="15">
        <f>Table2[[#This Row],[Discounts]]/Table2[[#This Row],[Gross Sales]]</f>
        <v>0.12</v>
      </c>
    </row>
    <row r="554" spans="1:17" x14ac:dyDescent="0.35">
      <c r="A554" t="s">
        <v>9</v>
      </c>
      <c r="B554" t="s">
        <v>20</v>
      </c>
      <c r="C554" t="s">
        <v>40</v>
      </c>
      <c r="D554" t="s">
        <v>48</v>
      </c>
      <c r="E554" s="9">
        <v>2156</v>
      </c>
      <c r="F554">
        <v>10</v>
      </c>
      <c r="G554">
        <v>125</v>
      </c>
      <c r="H554" s="9">
        <v>269500</v>
      </c>
      <c r="I554" s="9">
        <v>32340</v>
      </c>
      <c r="J554" s="9">
        <v>237160</v>
      </c>
      <c r="K554" s="9">
        <v>258720</v>
      </c>
      <c r="L554" s="9">
        <v>-21560</v>
      </c>
      <c r="M554" s="10">
        <v>41913</v>
      </c>
      <c r="N554">
        <v>10</v>
      </c>
      <c r="O554" t="s">
        <v>30</v>
      </c>
      <c r="P554" t="s">
        <v>15</v>
      </c>
      <c r="Q554" s="15">
        <f>Table2[[#This Row],[Discounts]]/Table2[[#This Row],[Gross Sales]]</f>
        <v>0.12</v>
      </c>
    </row>
    <row r="555" spans="1:17" x14ac:dyDescent="0.35">
      <c r="A555" t="s">
        <v>10</v>
      </c>
      <c r="B555" t="s">
        <v>20</v>
      </c>
      <c r="C555" t="s">
        <v>40</v>
      </c>
      <c r="D555" t="s">
        <v>48</v>
      </c>
      <c r="E555" s="9">
        <v>905</v>
      </c>
      <c r="F555">
        <v>10</v>
      </c>
      <c r="G555">
        <v>20</v>
      </c>
      <c r="H555" s="9">
        <v>18100</v>
      </c>
      <c r="I555" s="9">
        <v>2172</v>
      </c>
      <c r="J555" s="9">
        <v>15928</v>
      </c>
      <c r="K555" s="9">
        <v>9050</v>
      </c>
      <c r="L555" s="9">
        <v>6878</v>
      </c>
      <c r="M555" s="10">
        <v>41913</v>
      </c>
      <c r="N555">
        <v>10</v>
      </c>
      <c r="O555" t="s">
        <v>30</v>
      </c>
      <c r="P555" t="s">
        <v>15</v>
      </c>
      <c r="Q555" s="15">
        <f>Table2[[#This Row],[Discounts]]/Table2[[#This Row],[Gross Sales]]</f>
        <v>0.12</v>
      </c>
    </row>
    <row r="556" spans="1:17" x14ac:dyDescent="0.35">
      <c r="A556" t="s">
        <v>10</v>
      </c>
      <c r="B556" t="s">
        <v>20</v>
      </c>
      <c r="C556" t="s">
        <v>40</v>
      </c>
      <c r="D556" t="s">
        <v>48</v>
      </c>
      <c r="E556" s="9">
        <v>1715</v>
      </c>
      <c r="F556">
        <v>10</v>
      </c>
      <c r="G556">
        <v>20</v>
      </c>
      <c r="H556" s="9">
        <v>34300</v>
      </c>
      <c r="I556" s="9">
        <v>4116</v>
      </c>
      <c r="J556" s="9">
        <v>30184</v>
      </c>
      <c r="K556" s="9">
        <v>17150</v>
      </c>
      <c r="L556" s="9">
        <v>13034</v>
      </c>
      <c r="M556" s="10">
        <v>41548</v>
      </c>
      <c r="N556">
        <v>10</v>
      </c>
      <c r="O556" t="s">
        <v>30</v>
      </c>
      <c r="P556" t="s">
        <v>14</v>
      </c>
      <c r="Q556" s="15">
        <f>Table2[[#This Row],[Discounts]]/Table2[[#This Row],[Gross Sales]]</f>
        <v>0.12</v>
      </c>
    </row>
    <row r="557" spans="1:17" x14ac:dyDescent="0.35">
      <c r="A557" t="s">
        <v>10</v>
      </c>
      <c r="B557" t="s">
        <v>18</v>
      </c>
      <c r="C557" t="s">
        <v>40</v>
      </c>
      <c r="D557" t="s">
        <v>48</v>
      </c>
      <c r="E557" s="9">
        <v>1594</v>
      </c>
      <c r="F557">
        <v>10</v>
      </c>
      <c r="G557">
        <v>350</v>
      </c>
      <c r="H557" s="9">
        <v>557900</v>
      </c>
      <c r="I557" s="9">
        <v>66948</v>
      </c>
      <c r="J557" s="9">
        <v>490952</v>
      </c>
      <c r="K557" s="9">
        <v>414440</v>
      </c>
      <c r="L557" s="9">
        <v>76512</v>
      </c>
      <c r="M557" s="10">
        <v>41944</v>
      </c>
      <c r="N557">
        <v>11</v>
      </c>
      <c r="O557" t="s">
        <v>31</v>
      </c>
      <c r="P557" t="s">
        <v>15</v>
      </c>
      <c r="Q557" s="15">
        <f>Table2[[#This Row],[Discounts]]/Table2[[#This Row],[Gross Sales]]</f>
        <v>0.12</v>
      </c>
    </row>
    <row r="558" spans="1:17" x14ac:dyDescent="0.35">
      <c r="A558" t="s">
        <v>7</v>
      </c>
      <c r="B558" t="s">
        <v>19</v>
      </c>
      <c r="C558" t="s">
        <v>40</v>
      </c>
      <c r="D558" t="s">
        <v>48</v>
      </c>
      <c r="E558" s="9">
        <v>1359</v>
      </c>
      <c r="F558">
        <v>10</v>
      </c>
      <c r="G558">
        <v>300</v>
      </c>
      <c r="H558" s="9">
        <v>407700</v>
      </c>
      <c r="I558" s="9">
        <v>48924</v>
      </c>
      <c r="J558" s="9">
        <v>358776</v>
      </c>
      <c r="K558" s="9">
        <v>339750</v>
      </c>
      <c r="L558" s="9">
        <v>19026</v>
      </c>
      <c r="M558" s="10">
        <v>41944</v>
      </c>
      <c r="N558">
        <v>11</v>
      </c>
      <c r="O558" t="s">
        <v>31</v>
      </c>
      <c r="P558" t="s">
        <v>15</v>
      </c>
      <c r="Q558" s="15">
        <f>Table2[[#This Row],[Discounts]]/Table2[[#This Row],[Gross Sales]]</f>
        <v>0.12</v>
      </c>
    </row>
    <row r="559" spans="1:17" x14ac:dyDescent="0.35">
      <c r="A559" t="s">
        <v>7</v>
      </c>
      <c r="B559" t="s">
        <v>20</v>
      </c>
      <c r="C559" t="s">
        <v>40</v>
      </c>
      <c r="D559" t="s">
        <v>48</v>
      </c>
      <c r="E559" s="9">
        <v>2150</v>
      </c>
      <c r="F559">
        <v>10</v>
      </c>
      <c r="G559">
        <v>300</v>
      </c>
      <c r="H559" s="9">
        <v>645000</v>
      </c>
      <c r="I559" s="9">
        <v>77400</v>
      </c>
      <c r="J559" s="9">
        <v>567600</v>
      </c>
      <c r="K559" s="9">
        <v>537500</v>
      </c>
      <c r="L559" s="9">
        <v>30100</v>
      </c>
      <c r="M559" s="10">
        <v>41944</v>
      </c>
      <c r="N559">
        <v>11</v>
      </c>
      <c r="O559" t="s">
        <v>31</v>
      </c>
      <c r="P559" t="s">
        <v>15</v>
      </c>
      <c r="Q559" s="15">
        <f>Table2[[#This Row],[Discounts]]/Table2[[#This Row],[Gross Sales]]</f>
        <v>0.12</v>
      </c>
    </row>
    <row r="560" spans="1:17" x14ac:dyDescent="0.35">
      <c r="A560" t="s">
        <v>10</v>
      </c>
      <c r="B560" t="s">
        <v>20</v>
      </c>
      <c r="C560" t="s">
        <v>40</v>
      </c>
      <c r="D560" t="s">
        <v>48</v>
      </c>
      <c r="E560" s="9">
        <v>1197</v>
      </c>
      <c r="F560">
        <v>10</v>
      </c>
      <c r="G560">
        <v>350</v>
      </c>
      <c r="H560" s="9">
        <v>418950</v>
      </c>
      <c r="I560" s="9">
        <v>50274</v>
      </c>
      <c r="J560" s="9">
        <v>368676</v>
      </c>
      <c r="K560" s="9">
        <v>311220</v>
      </c>
      <c r="L560" s="9">
        <v>57456</v>
      </c>
      <c r="M560" s="10">
        <v>41944</v>
      </c>
      <c r="N560">
        <v>11</v>
      </c>
      <c r="O560" t="s">
        <v>31</v>
      </c>
      <c r="P560" t="s">
        <v>15</v>
      </c>
      <c r="Q560" s="15">
        <f>Table2[[#This Row],[Discounts]]/Table2[[#This Row],[Gross Sales]]</f>
        <v>0.12</v>
      </c>
    </row>
    <row r="561" spans="1:17" x14ac:dyDescent="0.35">
      <c r="A561" t="s">
        <v>8</v>
      </c>
      <c r="B561" t="s">
        <v>20</v>
      </c>
      <c r="C561" t="s">
        <v>40</v>
      </c>
      <c r="D561" t="s">
        <v>48</v>
      </c>
      <c r="E561" s="9">
        <v>380</v>
      </c>
      <c r="F561">
        <v>10</v>
      </c>
      <c r="G561">
        <v>15</v>
      </c>
      <c r="H561" s="9">
        <v>5700</v>
      </c>
      <c r="I561" s="9">
        <v>684</v>
      </c>
      <c r="J561" s="9">
        <v>5016</v>
      </c>
      <c r="K561" s="9">
        <v>3800</v>
      </c>
      <c r="L561" s="9">
        <v>1216</v>
      </c>
      <c r="M561" s="10">
        <v>41609</v>
      </c>
      <c r="N561">
        <v>12</v>
      </c>
      <c r="O561" t="s">
        <v>32</v>
      </c>
      <c r="P561" t="s">
        <v>14</v>
      </c>
      <c r="Q561" s="15">
        <f>Table2[[#This Row],[Discounts]]/Table2[[#This Row],[Gross Sales]]</f>
        <v>0.12</v>
      </c>
    </row>
    <row r="562" spans="1:17" x14ac:dyDescent="0.35">
      <c r="A562" t="s">
        <v>10</v>
      </c>
      <c r="B562" t="s">
        <v>20</v>
      </c>
      <c r="C562" t="s">
        <v>40</v>
      </c>
      <c r="D562" t="s">
        <v>48</v>
      </c>
      <c r="E562" s="9">
        <v>1233</v>
      </c>
      <c r="F562">
        <v>10</v>
      </c>
      <c r="G562">
        <v>20</v>
      </c>
      <c r="H562" s="9">
        <v>24660</v>
      </c>
      <c r="I562" s="9">
        <v>2959.2</v>
      </c>
      <c r="J562" s="9">
        <v>21700.799999999999</v>
      </c>
      <c r="K562" s="9">
        <v>12330</v>
      </c>
      <c r="L562" s="9">
        <v>9370.7999999999993</v>
      </c>
      <c r="M562" s="10">
        <v>41974</v>
      </c>
      <c r="N562">
        <v>12</v>
      </c>
      <c r="O562" t="s">
        <v>32</v>
      </c>
      <c r="P562" t="s">
        <v>15</v>
      </c>
      <c r="Q562" s="15">
        <f>Table2[[#This Row],[Discounts]]/Table2[[#This Row],[Gross Sales]]</f>
        <v>0.12</v>
      </c>
    </row>
    <row r="563" spans="1:17" x14ac:dyDescent="0.35">
      <c r="A563" t="s">
        <v>10</v>
      </c>
      <c r="B563" t="s">
        <v>20</v>
      </c>
      <c r="C563" t="s">
        <v>41</v>
      </c>
      <c r="D563" t="s">
        <v>48</v>
      </c>
      <c r="E563" s="9">
        <v>1395</v>
      </c>
      <c r="F563">
        <v>120</v>
      </c>
      <c r="G563">
        <v>350</v>
      </c>
      <c r="H563" s="9">
        <v>488250</v>
      </c>
      <c r="I563" s="9">
        <v>58590</v>
      </c>
      <c r="J563" s="9">
        <v>429660</v>
      </c>
      <c r="K563" s="9">
        <v>362700</v>
      </c>
      <c r="L563" s="9">
        <v>66960</v>
      </c>
      <c r="M563" s="10">
        <v>41821</v>
      </c>
      <c r="N563">
        <v>7</v>
      </c>
      <c r="O563" t="s">
        <v>27</v>
      </c>
      <c r="P563" t="s">
        <v>15</v>
      </c>
      <c r="Q563" s="15">
        <f>Table2[[#This Row],[Discounts]]/Table2[[#This Row],[Gross Sales]]</f>
        <v>0.12</v>
      </c>
    </row>
    <row r="564" spans="1:17" x14ac:dyDescent="0.35">
      <c r="A564" t="s">
        <v>10</v>
      </c>
      <c r="B564" t="s">
        <v>92</v>
      </c>
      <c r="C564" t="s">
        <v>41</v>
      </c>
      <c r="D564" t="s">
        <v>48</v>
      </c>
      <c r="E564" s="9">
        <v>986</v>
      </c>
      <c r="F564">
        <v>120</v>
      </c>
      <c r="G564">
        <v>350</v>
      </c>
      <c r="H564" s="9">
        <v>345100</v>
      </c>
      <c r="I564" s="9">
        <v>41412</v>
      </c>
      <c r="J564" s="9">
        <v>303688</v>
      </c>
      <c r="K564" s="9">
        <v>256360</v>
      </c>
      <c r="L564" s="9">
        <v>47328</v>
      </c>
      <c r="M564" s="10">
        <v>41913</v>
      </c>
      <c r="N564">
        <v>10</v>
      </c>
      <c r="O564" t="s">
        <v>30</v>
      </c>
      <c r="P564" t="s">
        <v>15</v>
      </c>
      <c r="Q564" s="15">
        <f>Table2[[#This Row],[Discounts]]/Table2[[#This Row],[Gross Sales]]</f>
        <v>0.12</v>
      </c>
    </row>
    <row r="565" spans="1:17" x14ac:dyDescent="0.35">
      <c r="A565" t="s">
        <v>10</v>
      </c>
      <c r="B565" t="s">
        <v>20</v>
      </c>
      <c r="C565" t="s">
        <v>41</v>
      </c>
      <c r="D565" t="s">
        <v>48</v>
      </c>
      <c r="E565" s="9">
        <v>905</v>
      </c>
      <c r="F565">
        <v>120</v>
      </c>
      <c r="G565">
        <v>20</v>
      </c>
      <c r="H565" s="9">
        <v>18100</v>
      </c>
      <c r="I565" s="9">
        <v>2172</v>
      </c>
      <c r="J565" s="9">
        <v>15928</v>
      </c>
      <c r="K565" s="9">
        <v>9050</v>
      </c>
      <c r="L565" s="9">
        <v>6878</v>
      </c>
      <c r="M565" s="10">
        <v>41913</v>
      </c>
      <c r="N565">
        <v>10</v>
      </c>
      <c r="O565" t="s">
        <v>30</v>
      </c>
      <c r="P565" t="s">
        <v>15</v>
      </c>
      <c r="Q565" s="15">
        <f>Table2[[#This Row],[Discounts]]/Table2[[#This Row],[Gross Sales]]</f>
        <v>0.12</v>
      </c>
    </row>
    <row r="566" spans="1:17" x14ac:dyDescent="0.35">
      <c r="A566" t="s">
        <v>11</v>
      </c>
      <c r="B566" t="s">
        <v>16</v>
      </c>
      <c r="C566" t="s">
        <v>42</v>
      </c>
      <c r="D566" t="s">
        <v>48</v>
      </c>
      <c r="E566" s="9">
        <v>2109</v>
      </c>
      <c r="F566">
        <v>250</v>
      </c>
      <c r="G566">
        <v>12</v>
      </c>
      <c r="H566" s="9">
        <v>25308</v>
      </c>
      <c r="I566" s="9">
        <v>3036.96</v>
      </c>
      <c r="J566" s="9">
        <v>22271.040000000001</v>
      </c>
      <c r="K566" s="9">
        <v>6327</v>
      </c>
      <c r="L566" s="9">
        <v>15944.04</v>
      </c>
      <c r="M566" s="10">
        <v>41760</v>
      </c>
      <c r="N566">
        <v>5</v>
      </c>
      <c r="O566" t="s">
        <v>25</v>
      </c>
      <c r="P566" t="s">
        <v>15</v>
      </c>
      <c r="Q566" s="15">
        <f>Table2[[#This Row],[Discounts]]/Table2[[#This Row],[Gross Sales]]</f>
        <v>0.12</v>
      </c>
    </row>
    <row r="567" spans="1:17" x14ac:dyDescent="0.35">
      <c r="A567" t="s">
        <v>8</v>
      </c>
      <c r="B567" t="s">
        <v>18</v>
      </c>
      <c r="C567" t="s">
        <v>42</v>
      </c>
      <c r="D567" t="s">
        <v>48</v>
      </c>
      <c r="E567" s="9">
        <v>3874.5</v>
      </c>
      <c r="F567">
        <v>250</v>
      </c>
      <c r="G567">
        <v>15</v>
      </c>
      <c r="H567" s="9">
        <v>58117.5</v>
      </c>
      <c r="I567" s="9">
        <v>6974.0999999999995</v>
      </c>
      <c r="J567" s="9">
        <v>51143.399999999994</v>
      </c>
      <c r="K567" s="9">
        <v>38745</v>
      </c>
      <c r="L567" s="9">
        <v>12398.399999999998</v>
      </c>
      <c r="M567" s="10">
        <v>41821</v>
      </c>
      <c r="N567">
        <v>7</v>
      </c>
      <c r="O567" t="s">
        <v>27</v>
      </c>
      <c r="P567" t="s">
        <v>15</v>
      </c>
      <c r="Q567" s="15">
        <f>Table2[[#This Row],[Discounts]]/Table2[[#This Row],[Gross Sales]]</f>
        <v>0.12</v>
      </c>
    </row>
    <row r="568" spans="1:17" x14ac:dyDescent="0.35">
      <c r="A568" t="s">
        <v>10</v>
      </c>
      <c r="B568" t="s">
        <v>16</v>
      </c>
      <c r="C568" t="s">
        <v>42</v>
      </c>
      <c r="D568" t="s">
        <v>48</v>
      </c>
      <c r="E568" s="9">
        <v>623</v>
      </c>
      <c r="F568">
        <v>250</v>
      </c>
      <c r="G568">
        <v>350</v>
      </c>
      <c r="H568" s="9">
        <v>218050</v>
      </c>
      <c r="I568" s="9">
        <v>26166</v>
      </c>
      <c r="J568" s="9">
        <v>191884</v>
      </c>
      <c r="K568" s="9">
        <v>161980</v>
      </c>
      <c r="L568" s="9">
        <v>29904</v>
      </c>
      <c r="M568" s="10">
        <v>41518</v>
      </c>
      <c r="N568">
        <v>9</v>
      </c>
      <c r="O568" t="s">
        <v>29</v>
      </c>
      <c r="P568" t="s">
        <v>14</v>
      </c>
      <c r="Q568" s="15">
        <f>Table2[[#This Row],[Discounts]]/Table2[[#This Row],[Gross Sales]]</f>
        <v>0.12</v>
      </c>
    </row>
    <row r="569" spans="1:17" x14ac:dyDescent="0.35">
      <c r="A569" t="s">
        <v>10</v>
      </c>
      <c r="B569" t="s">
        <v>92</v>
      </c>
      <c r="C569" t="s">
        <v>42</v>
      </c>
      <c r="D569" t="s">
        <v>48</v>
      </c>
      <c r="E569" s="9">
        <v>986</v>
      </c>
      <c r="F569">
        <v>250</v>
      </c>
      <c r="G569">
        <v>350</v>
      </c>
      <c r="H569" s="9">
        <v>345100</v>
      </c>
      <c r="I569" s="9">
        <v>41412</v>
      </c>
      <c r="J569" s="9">
        <v>303688</v>
      </c>
      <c r="K569" s="9">
        <v>256360</v>
      </c>
      <c r="L569" s="9">
        <v>47328</v>
      </c>
      <c r="M569" s="10">
        <v>41913</v>
      </c>
      <c r="N569">
        <v>10</v>
      </c>
      <c r="O569" t="s">
        <v>30</v>
      </c>
      <c r="P569" t="s">
        <v>15</v>
      </c>
      <c r="Q569" s="15">
        <f>Table2[[#This Row],[Discounts]]/Table2[[#This Row],[Gross Sales]]</f>
        <v>0.12</v>
      </c>
    </row>
    <row r="570" spans="1:17" x14ac:dyDescent="0.35">
      <c r="A570" t="s">
        <v>9</v>
      </c>
      <c r="B570" t="s">
        <v>92</v>
      </c>
      <c r="C570" t="s">
        <v>42</v>
      </c>
      <c r="D570" t="s">
        <v>48</v>
      </c>
      <c r="E570" s="9">
        <v>2387</v>
      </c>
      <c r="F570">
        <v>250</v>
      </c>
      <c r="G570">
        <v>125</v>
      </c>
      <c r="H570" s="9">
        <v>298375</v>
      </c>
      <c r="I570" s="9">
        <v>35805</v>
      </c>
      <c r="J570" s="9">
        <v>262570</v>
      </c>
      <c r="K570" s="9">
        <v>286440</v>
      </c>
      <c r="L570" s="9">
        <v>-23870</v>
      </c>
      <c r="M570" s="10">
        <v>41944</v>
      </c>
      <c r="N570">
        <v>11</v>
      </c>
      <c r="O570" t="s">
        <v>31</v>
      </c>
      <c r="P570" t="s">
        <v>15</v>
      </c>
      <c r="Q570" s="15">
        <f>Table2[[#This Row],[Discounts]]/Table2[[#This Row],[Gross Sales]]</f>
        <v>0.12</v>
      </c>
    </row>
    <row r="571" spans="1:17" x14ac:dyDescent="0.35">
      <c r="A571" t="s">
        <v>10</v>
      </c>
      <c r="B571" t="s">
        <v>20</v>
      </c>
      <c r="C571" t="s">
        <v>42</v>
      </c>
      <c r="D571" t="s">
        <v>48</v>
      </c>
      <c r="E571" s="9">
        <v>1233</v>
      </c>
      <c r="F571">
        <v>250</v>
      </c>
      <c r="G571">
        <v>20</v>
      </c>
      <c r="H571" s="9">
        <v>24660</v>
      </c>
      <c r="I571" s="9">
        <v>2959.2</v>
      </c>
      <c r="J571" s="9">
        <v>21700.799999999999</v>
      </c>
      <c r="K571" s="9">
        <v>12330</v>
      </c>
      <c r="L571" s="9">
        <v>9370.7999999999993</v>
      </c>
      <c r="M571" s="10">
        <v>41974</v>
      </c>
      <c r="N571">
        <v>12</v>
      </c>
      <c r="O571" t="s">
        <v>32</v>
      </c>
      <c r="P571" t="s">
        <v>15</v>
      </c>
      <c r="Q571" s="15">
        <f>Table2[[#This Row],[Discounts]]/Table2[[#This Row],[Gross Sales]]</f>
        <v>0.12</v>
      </c>
    </row>
    <row r="572" spans="1:17" x14ac:dyDescent="0.35">
      <c r="A572" t="s">
        <v>10</v>
      </c>
      <c r="B572" t="s">
        <v>92</v>
      </c>
      <c r="C572" t="s">
        <v>43</v>
      </c>
      <c r="D572" t="s">
        <v>48</v>
      </c>
      <c r="E572" s="9">
        <v>270</v>
      </c>
      <c r="F572">
        <v>260</v>
      </c>
      <c r="G572">
        <v>350</v>
      </c>
      <c r="H572" s="9">
        <v>94500</v>
      </c>
      <c r="I572" s="9">
        <v>11340</v>
      </c>
      <c r="J572" s="9">
        <v>83160</v>
      </c>
      <c r="K572" s="9">
        <v>70200</v>
      </c>
      <c r="L572" s="9">
        <v>12960</v>
      </c>
      <c r="M572" s="10">
        <v>41671</v>
      </c>
      <c r="N572">
        <v>2</v>
      </c>
      <c r="O572" t="s">
        <v>22</v>
      </c>
      <c r="P572" t="s">
        <v>15</v>
      </c>
      <c r="Q572" s="15">
        <f>Table2[[#This Row],[Discounts]]/Table2[[#This Row],[Gross Sales]]</f>
        <v>0.12</v>
      </c>
    </row>
    <row r="573" spans="1:17" x14ac:dyDescent="0.35">
      <c r="A573" t="s">
        <v>10</v>
      </c>
      <c r="B573" t="s">
        <v>18</v>
      </c>
      <c r="C573" t="s">
        <v>43</v>
      </c>
      <c r="D573" t="s">
        <v>48</v>
      </c>
      <c r="E573" s="9">
        <v>3421.5</v>
      </c>
      <c r="F573">
        <v>260</v>
      </c>
      <c r="G573">
        <v>7</v>
      </c>
      <c r="H573" s="9">
        <v>23950.5</v>
      </c>
      <c r="I573" s="9">
        <v>2874.06</v>
      </c>
      <c r="J573" s="9">
        <v>21076.44</v>
      </c>
      <c r="K573" s="9">
        <v>17107.5</v>
      </c>
      <c r="L573" s="9">
        <v>3968.9399999999987</v>
      </c>
      <c r="M573" s="10">
        <v>41821</v>
      </c>
      <c r="N573">
        <v>7</v>
      </c>
      <c r="O573" t="s">
        <v>27</v>
      </c>
      <c r="P573" t="s">
        <v>15</v>
      </c>
      <c r="Q573" s="15">
        <f>Table2[[#This Row],[Discounts]]/Table2[[#This Row],[Gross Sales]]</f>
        <v>0.12</v>
      </c>
    </row>
    <row r="574" spans="1:17" x14ac:dyDescent="0.35">
      <c r="A574" t="s">
        <v>10</v>
      </c>
      <c r="B574" t="s">
        <v>16</v>
      </c>
      <c r="C574" t="s">
        <v>43</v>
      </c>
      <c r="D574" t="s">
        <v>48</v>
      </c>
      <c r="E574" s="9">
        <v>2734</v>
      </c>
      <c r="F574">
        <v>260</v>
      </c>
      <c r="G574">
        <v>7</v>
      </c>
      <c r="H574" s="9">
        <v>19138</v>
      </c>
      <c r="I574" s="9">
        <v>2296.56</v>
      </c>
      <c r="J574" s="9">
        <v>16841.439999999999</v>
      </c>
      <c r="K574" s="9">
        <v>13670</v>
      </c>
      <c r="L574" s="9">
        <v>3171.4399999999987</v>
      </c>
      <c r="M574" s="10">
        <v>41913</v>
      </c>
      <c r="N574">
        <v>10</v>
      </c>
      <c r="O574" t="s">
        <v>30</v>
      </c>
      <c r="P574" t="s">
        <v>15</v>
      </c>
      <c r="Q574" s="15">
        <f>Table2[[#This Row],[Discounts]]/Table2[[#This Row],[Gross Sales]]</f>
        <v>0.12</v>
      </c>
    </row>
    <row r="575" spans="1:17" x14ac:dyDescent="0.35">
      <c r="A575" t="s">
        <v>8</v>
      </c>
      <c r="B575" t="s">
        <v>92</v>
      </c>
      <c r="C575" t="s">
        <v>43</v>
      </c>
      <c r="D575" t="s">
        <v>48</v>
      </c>
      <c r="E575" s="9">
        <v>2548</v>
      </c>
      <c r="F575">
        <v>260</v>
      </c>
      <c r="G575">
        <v>15</v>
      </c>
      <c r="H575" s="9">
        <v>38220</v>
      </c>
      <c r="I575" s="9">
        <v>4586.3999999999996</v>
      </c>
      <c r="J575" s="9">
        <v>33633.599999999999</v>
      </c>
      <c r="K575" s="9">
        <v>25480</v>
      </c>
      <c r="L575" s="9">
        <v>8153.5999999999985</v>
      </c>
      <c r="M575" s="10">
        <v>41579</v>
      </c>
      <c r="N575">
        <v>11</v>
      </c>
      <c r="O575" t="s">
        <v>31</v>
      </c>
      <c r="P575" t="s">
        <v>14</v>
      </c>
      <c r="Q575" s="15">
        <f>Table2[[#This Row],[Discounts]]/Table2[[#This Row],[Gross Sales]]</f>
        <v>0.12</v>
      </c>
    </row>
    <row r="576" spans="1:17" x14ac:dyDescent="0.35">
      <c r="A576" t="s">
        <v>10</v>
      </c>
      <c r="B576" t="s">
        <v>18</v>
      </c>
      <c r="C576" t="s">
        <v>38</v>
      </c>
      <c r="D576" t="s">
        <v>48</v>
      </c>
      <c r="E576" s="9">
        <v>2521.5</v>
      </c>
      <c r="F576">
        <v>3</v>
      </c>
      <c r="G576">
        <v>20</v>
      </c>
      <c r="H576" s="9">
        <v>50430</v>
      </c>
      <c r="I576" s="9">
        <v>6051.6</v>
      </c>
      <c r="J576" s="9">
        <v>44378.399999999994</v>
      </c>
      <c r="K576" s="9">
        <v>25215</v>
      </c>
      <c r="L576" s="9">
        <v>19163.399999999998</v>
      </c>
      <c r="M576" s="10">
        <v>41640</v>
      </c>
      <c r="N576">
        <v>1</v>
      </c>
      <c r="O576" t="s">
        <v>21</v>
      </c>
      <c r="P576" t="s">
        <v>15</v>
      </c>
      <c r="Q576" s="15">
        <f>Table2[[#This Row],[Discounts]]/Table2[[#This Row],[Gross Sales]]</f>
        <v>0.12000000000000001</v>
      </c>
    </row>
    <row r="577" spans="1:17" x14ac:dyDescent="0.35">
      <c r="A577" t="s">
        <v>11</v>
      </c>
      <c r="B577" t="s">
        <v>20</v>
      </c>
      <c r="C577" t="s">
        <v>39</v>
      </c>
      <c r="D577" t="s">
        <v>48</v>
      </c>
      <c r="E577" s="9">
        <v>2661</v>
      </c>
      <c r="F577">
        <v>5</v>
      </c>
      <c r="G577">
        <v>12</v>
      </c>
      <c r="H577" s="9">
        <v>31932</v>
      </c>
      <c r="I577" s="9">
        <v>3831.84</v>
      </c>
      <c r="J577" s="9">
        <v>28100.16</v>
      </c>
      <c r="K577" s="9">
        <v>7983</v>
      </c>
      <c r="L577" s="9">
        <v>20117.16</v>
      </c>
      <c r="M577" s="10">
        <v>41760</v>
      </c>
      <c r="N577">
        <v>5</v>
      </c>
      <c r="O577" t="s">
        <v>25</v>
      </c>
      <c r="P577" t="s">
        <v>15</v>
      </c>
      <c r="Q577" s="15">
        <f>Table2[[#This Row],[Discounts]]/Table2[[#This Row],[Gross Sales]]</f>
        <v>0.12000000000000001</v>
      </c>
    </row>
    <row r="578" spans="1:17" x14ac:dyDescent="0.35">
      <c r="A578" t="s">
        <v>10</v>
      </c>
      <c r="B578" t="s">
        <v>19</v>
      </c>
      <c r="C578" t="s">
        <v>40</v>
      </c>
      <c r="D578" t="s">
        <v>48</v>
      </c>
      <c r="E578" s="9">
        <v>1531</v>
      </c>
      <c r="F578">
        <v>10</v>
      </c>
      <c r="G578">
        <v>20</v>
      </c>
      <c r="H578" s="9">
        <v>30620</v>
      </c>
      <c r="I578" s="9">
        <v>3674.4</v>
      </c>
      <c r="J578" s="9">
        <v>26945.599999999999</v>
      </c>
      <c r="K578" s="9">
        <v>15310</v>
      </c>
      <c r="L578" s="9">
        <v>11635.599999999999</v>
      </c>
      <c r="M578" s="10">
        <v>41974</v>
      </c>
      <c r="N578">
        <v>12</v>
      </c>
      <c r="O578" t="s">
        <v>32</v>
      </c>
      <c r="P578" t="s">
        <v>15</v>
      </c>
      <c r="Q578" s="15">
        <f>Table2[[#This Row],[Discounts]]/Table2[[#This Row],[Gross Sales]]</f>
        <v>0.12000000000000001</v>
      </c>
    </row>
    <row r="579" spans="1:17" x14ac:dyDescent="0.35">
      <c r="A579" t="s">
        <v>10</v>
      </c>
      <c r="B579" t="s">
        <v>18</v>
      </c>
      <c r="C579" t="s">
        <v>42</v>
      </c>
      <c r="D579" t="s">
        <v>48</v>
      </c>
      <c r="E579" s="9">
        <v>1491</v>
      </c>
      <c r="F579">
        <v>250</v>
      </c>
      <c r="G579">
        <v>7</v>
      </c>
      <c r="H579" s="9">
        <v>10437</v>
      </c>
      <c r="I579" s="9">
        <v>1252.44</v>
      </c>
      <c r="J579" s="9">
        <v>9184.56</v>
      </c>
      <c r="K579" s="9">
        <v>7455</v>
      </c>
      <c r="L579" s="9">
        <v>1729.5599999999995</v>
      </c>
      <c r="M579" s="10">
        <v>41699</v>
      </c>
      <c r="N579">
        <v>3</v>
      </c>
      <c r="O579" t="s">
        <v>23</v>
      </c>
      <c r="P579" t="s">
        <v>15</v>
      </c>
      <c r="Q579" s="15">
        <f>Table2[[#This Row],[Discounts]]/Table2[[#This Row],[Gross Sales]]</f>
        <v>0.12000000000000001</v>
      </c>
    </row>
    <row r="580" spans="1:17" x14ac:dyDescent="0.35">
      <c r="A580" t="s">
        <v>10</v>
      </c>
      <c r="B580" t="s">
        <v>19</v>
      </c>
      <c r="C580" t="s">
        <v>42</v>
      </c>
      <c r="D580" t="s">
        <v>48</v>
      </c>
      <c r="E580" s="9">
        <v>1531</v>
      </c>
      <c r="F580">
        <v>250</v>
      </c>
      <c r="G580">
        <v>20</v>
      </c>
      <c r="H580" s="9">
        <v>30620</v>
      </c>
      <c r="I580" s="9">
        <v>3674.4</v>
      </c>
      <c r="J580" s="9">
        <v>26945.599999999999</v>
      </c>
      <c r="K580" s="9">
        <v>15310</v>
      </c>
      <c r="L580" s="9">
        <v>11635.599999999999</v>
      </c>
      <c r="M580" s="10">
        <v>41974</v>
      </c>
      <c r="N580">
        <v>12</v>
      </c>
      <c r="O580" t="s">
        <v>32</v>
      </c>
      <c r="P580" t="s">
        <v>15</v>
      </c>
      <c r="Q580" s="15">
        <f>Table2[[#This Row],[Discounts]]/Table2[[#This Row],[Gross Sales]]</f>
        <v>0.12000000000000001</v>
      </c>
    </row>
    <row r="581" spans="1:17" x14ac:dyDescent="0.35">
      <c r="A581" t="s">
        <v>11</v>
      </c>
      <c r="B581" t="s">
        <v>16</v>
      </c>
      <c r="C581" t="s">
        <v>43</v>
      </c>
      <c r="D581" t="s">
        <v>48</v>
      </c>
      <c r="E581" s="9">
        <v>2761</v>
      </c>
      <c r="F581">
        <v>260</v>
      </c>
      <c r="G581">
        <v>12</v>
      </c>
      <c r="H581" s="9">
        <v>33132</v>
      </c>
      <c r="I581" s="9">
        <v>3975.84</v>
      </c>
      <c r="J581" s="9">
        <v>29156.16</v>
      </c>
      <c r="K581" s="9">
        <v>8283</v>
      </c>
      <c r="L581" s="9">
        <v>20873.16</v>
      </c>
      <c r="M581" s="10">
        <v>41518</v>
      </c>
      <c r="N581">
        <v>9</v>
      </c>
      <c r="O581" t="s">
        <v>29</v>
      </c>
      <c r="P581" t="s">
        <v>14</v>
      </c>
      <c r="Q581" s="15">
        <f>Table2[[#This Row],[Discounts]]/Table2[[#This Row],[Gross Sales]]</f>
        <v>0.12000000000000001</v>
      </c>
    </row>
    <row r="582" spans="1:17" x14ac:dyDescent="0.35">
      <c r="A582" t="s">
        <v>8</v>
      </c>
      <c r="B582" t="s">
        <v>92</v>
      </c>
      <c r="C582" t="s">
        <v>38</v>
      </c>
      <c r="D582" t="s">
        <v>48</v>
      </c>
      <c r="E582" s="9">
        <v>2567</v>
      </c>
      <c r="F582">
        <v>3</v>
      </c>
      <c r="G582">
        <v>15</v>
      </c>
      <c r="H582" s="9">
        <v>38505</v>
      </c>
      <c r="I582" s="9">
        <v>5005.6499999999996</v>
      </c>
      <c r="J582" s="9">
        <v>33499.35</v>
      </c>
      <c r="K582" s="9">
        <v>25670</v>
      </c>
      <c r="L582" s="9">
        <v>7829.3499999999985</v>
      </c>
      <c r="M582" s="10">
        <v>41791</v>
      </c>
      <c r="N582">
        <v>6</v>
      </c>
      <c r="O582" t="s">
        <v>26</v>
      </c>
      <c r="P582" t="s">
        <v>15</v>
      </c>
      <c r="Q582" s="15">
        <f>Table2[[#This Row],[Discounts]]/Table2[[#This Row],[Gross Sales]]</f>
        <v>0.12999999999999998</v>
      </c>
    </row>
    <row r="583" spans="1:17" x14ac:dyDescent="0.35">
      <c r="A583" t="s">
        <v>8</v>
      </c>
      <c r="B583" t="s">
        <v>92</v>
      </c>
      <c r="C583" t="s">
        <v>42</v>
      </c>
      <c r="D583" t="s">
        <v>48</v>
      </c>
      <c r="E583" s="9">
        <v>2567</v>
      </c>
      <c r="F583">
        <v>250</v>
      </c>
      <c r="G583">
        <v>15</v>
      </c>
      <c r="H583" s="9">
        <v>38505</v>
      </c>
      <c r="I583" s="9">
        <v>5005.6499999999996</v>
      </c>
      <c r="J583" s="9">
        <v>33499.35</v>
      </c>
      <c r="K583" s="9">
        <v>25670</v>
      </c>
      <c r="L583" s="9">
        <v>7829.3499999999985</v>
      </c>
      <c r="M583" s="10">
        <v>41791</v>
      </c>
      <c r="N583">
        <v>6</v>
      </c>
      <c r="O583" t="s">
        <v>26</v>
      </c>
      <c r="P583" t="s">
        <v>15</v>
      </c>
      <c r="Q583" s="15">
        <f>Table2[[#This Row],[Discounts]]/Table2[[#This Row],[Gross Sales]]</f>
        <v>0.12999999999999998</v>
      </c>
    </row>
    <row r="584" spans="1:17" x14ac:dyDescent="0.35">
      <c r="A584" t="s">
        <v>10</v>
      </c>
      <c r="B584" t="s">
        <v>16</v>
      </c>
      <c r="C584" t="s">
        <v>38</v>
      </c>
      <c r="D584" t="s">
        <v>48</v>
      </c>
      <c r="E584" s="9">
        <v>923</v>
      </c>
      <c r="F584">
        <v>3</v>
      </c>
      <c r="G584">
        <v>350</v>
      </c>
      <c r="H584" s="9">
        <v>323050</v>
      </c>
      <c r="I584" s="9">
        <v>41996.5</v>
      </c>
      <c r="J584" s="9">
        <v>281053.5</v>
      </c>
      <c r="K584" s="9">
        <v>239980</v>
      </c>
      <c r="L584" s="9">
        <v>41073.5</v>
      </c>
      <c r="M584" s="10">
        <v>41699</v>
      </c>
      <c r="N584">
        <v>3</v>
      </c>
      <c r="O584" t="s">
        <v>23</v>
      </c>
      <c r="P584" t="s">
        <v>15</v>
      </c>
      <c r="Q584" s="15">
        <f>Table2[[#This Row],[Discounts]]/Table2[[#This Row],[Gross Sales]]</f>
        <v>0.13</v>
      </c>
    </row>
    <row r="585" spans="1:17" x14ac:dyDescent="0.35">
      <c r="A585" t="s">
        <v>10</v>
      </c>
      <c r="B585" t="s">
        <v>18</v>
      </c>
      <c r="C585" t="s">
        <v>38</v>
      </c>
      <c r="D585" t="s">
        <v>48</v>
      </c>
      <c r="E585" s="9">
        <v>1790</v>
      </c>
      <c r="F585">
        <v>3</v>
      </c>
      <c r="G585">
        <v>350</v>
      </c>
      <c r="H585" s="9">
        <v>626500</v>
      </c>
      <c r="I585" s="9">
        <v>81445</v>
      </c>
      <c r="J585" s="9">
        <v>545055</v>
      </c>
      <c r="K585" s="9">
        <v>465400</v>
      </c>
      <c r="L585" s="9">
        <v>79655</v>
      </c>
      <c r="M585" s="10">
        <v>41699</v>
      </c>
      <c r="N585">
        <v>3</v>
      </c>
      <c r="O585" t="s">
        <v>23</v>
      </c>
      <c r="P585" t="s">
        <v>15</v>
      </c>
      <c r="Q585" s="15">
        <f>Table2[[#This Row],[Discounts]]/Table2[[#This Row],[Gross Sales]]</f>
        <v>0.13</v>
      </c>
    </row>
    <row r="586" spans="1:17" x14ac:dyDescent="0.35">
      <c r="A586" t="s">
        <v>10</v>
      </c>
      <c r="B586" t="s">
        <v>19</v>
      </c>
      <c r="C586" t="s">
        <v>38</v>
      </c>
      <c r="D586" t="s">
        <v>48</v>
      </c>
      <c r="E586" s="9">
        <v>442</v>
      </c>
      <c r="F586">
        <v>3</v>
      </c>
      <c r="G586">
        <v>20</v>
      </c>
      <c r="H586" s="9">
        <v>8840</v>
      </c>
      <c r="I586" s="9">
        <v>1149.2</v>
      </c>
      <c r="J586" s="9">
        <v>7690.8</v>
      </c>
      <c r="K586" s="9">
        <v>4420</v>
      </c>
      <c r="L586" s="9">
        <v>3270.8</v>
      </c>
      <c r="M586" s="10">
        <v>41518</v>
      </c>
      <c r="N586">
        <v>9</v>
      </c>
      <c r="O586" t="s">
        <v>29</v>
      </c>
      <c r="P586" t="s">
        <v>14</v>
      </c>
      <c r="Q586" s="15">
        <f>Table2[[#This Row],[Discounts]]/Table2[[#This Row],[Gross Sales]]</f>
        <v>0.13</v>
      </c>
    </row>
    <row r="587" spans="1:17" x14ac:dyDescent="0.35">
      <c r="A587" t="s">
        <v>10</v>
      </c>
      <c r="B587" t="s">
        <v>92</v>
      </c>
      <c r="C587" t="s">
        <v>39</v>
      </c>
      <c r="D587" t="s">
        <v>48</v>
      </c>
      <c r="E587" s="9">
        <v>982.5</v>
      </c>
      <c r="F587">
        <v>5</v>
      </c>
      <c r="G587">
        <v>350</v>
      </c>
      <c r="H587" s="9">
        <v>343875</v>
      </c>
      <c r="I587" s="9">
        <v>44703.75</v>
      </c>
      <c r="J587" s="9">
        <v>299171.25</v>
      </c>
      <c r="K587" s="9">
        <v>255450</v>
      </c>
      <c r="L587" s="9">
        <v>43721.25</v>
      </c>
      <c r="M587" s="10">
        <v>41640</v>
      </c>
      <c r="N587">
        <v>1</v>
      </c>
      <c r="O587" t="s">
        <v>21</v>
      </c>
      <c r="P587" t="s">
        <v>15</v>
      </c>
      <c r="Q587" s="15">
        <f>Table2[[#This Row],[Discounts]]/Table2[[#This Row],[Gross Sales]]</f>
        <v>0.13</v>
      </c>
    </row>
    <row r="588" spans="1:17" x14ac:dyDescent="0.35">
      <c r="A588" t="s">
        <v>10</v>
      </c>
      <c r="B588" t="s">
        <v>92</v>
      </c>
      <c r="C588" t="s">
        <v>39</v>
      </c>
      <c r="D588" t="s">
        <v>48</v>
      </c>
      <c r="E588" s="9">
        <v>1298</v>
      </c>
      <c r="F588">
        <v>5</v>
      </c>
      <c r="G588">
        <v>7</v>
      </c>
      <c r="H588" s="9">
        <v>9086</v>
      </c>
      <c r="I588" s="9">
        <v>1181.18</v>
      </c>
      <c r="J588" s="9">
        <v>7904.82</v>
      </c>
      <c r="K588" s="9">
        <v>6490</v>
      </c>
      <c r="L588" s="9">
        <v>1414.8199999999997</v>
      </c>
      <c r="M588" s="10">
        <v>41671</v>
      </c>
      <c r="N588">
        <v>2</v>
      </c>
      <c r="O588" t="s">
        <v>22</v>
      </c>
      <c r="P588" t="s">
        <v>15</v>
      </c>
      <c r="Q588" s="15">
        <f>Table2[[#This Row],[Discounts]]/Table2[[#This Row],[Gross Sales]]</f>
        <v>0.13</v>
      </c>
    </row>
    <row r="589" spans="1:17" x14ac:dyDescent="0.35">
      <c r="A589" t="s">
        <v>11</v>
      </c>
      <c r="B589" t="s">
        <v>20</v>
      </c>
      <c r="C589" t="s">
        <v>39</v>
      </c>
      <c r="D589" t="s">
        <v>48</v>
      </c>
      <c r="E589" s="9">
        <v>604</v>
      </c>
      <c r="F589">
        <v>5</v>
      </c>
      <c r="G589">
        <v>12</v>
      </c>
      <c r="H589" s="9">
        <v>7248</v>
      </c>
      <c r="I589" s="9">
        <v>942.24</v>
      </c>
      <c r="J589" s="9">
        <v>6305.76</v>
      </c>
      <c r="K589" s="9">
        <v>1812</v>
      </c>
      <c r="L589" s="9">
        <v>4493.76</v>
      </c>
      <c r="M589" s="10">
        <v>41791</v>
      </c>
      <c r="N589">
        <v>6</v>
      </c>
      <c r="O589" t="s">
        <v>26</v>
      </c>
      <c r="P589" t="s">
        <v>15</v>
      </c>
      <c r="Q589" s="15">
        <f>Table2[[#This Row],[Discounts]]/Table2[[#This Row],[Gross Sales]]</f>
        <v>0.13</v>
      </c>
    </row>
    <row r="590" spans="1:17" x14ac:dyDescent="0.35">
      <c r="A590" t="s">
        <v>10</v>
      </c>
      <c r="B590" t="s">
        <v>20</v>
      </c>
      <c r="C590" t="s">
        <v>39</v>
      </c>
      <c r="D590" t="s">
        <v>48</v>
      </c>
      <c r="E590" s="9">
        <v>2255</v>
      </c>
      <c r="F590">
        <v>5</v>
      </c>
      <c r="G590">
        <v>20</v>
      </c>
      <c r="H590" s="9">
        <v>45100</v>
      </c>
      <c r="I590" s="9">
        <v>5863</v>
      </c>
      <c r="J590" s="9">
        <v>39237</v>
      </c>
      <c r="K590" s="9">
        <v>22550</v>
      </c>
      <c r="L590" s="9">
        <v>16687</v>
      </c>
      <c r="M590" s="10">
        <v>41821</v>
      </c>
      <c r="N590">
        <v>7</v>
      </c>
      <c r="O590" t="s">
        <v>27</v>
      </c>
      <c r="P590" t="s">
        <v>15</v>
      </c>
      <c r="Q590" s="15">
        <f>Table2[[#This Row],[Discounts]]/Table2[[#This Row],[Gross Sales]]</f>
        <v>0.13</v>
      </c>
    </row>
    <row r="591" spans="1:17" x14ac:dyDescent="0.35">
      <c r="A591" t="s">
        <v>10</v>
      </c>
      <c r="B591" t="s">
        <v>16</v>
      </c>
      <c r="C591" t="s">
        <v>39</v>
      </c>
      <c r="D591" t="s">
        <v>48</v>
      </c>
      <c r="E591" s="9">
        <v>1249</v>
      </c>
      <c r="F591">
        <v>5</v>
      </c>
      <c r="G591">
        <v>20</v>
      </c>
      <c r="H591" s="9">
        <v>24980</v>
      </c>
      <c r="I591" s="9">
        <v>3247.4</v>
      </c>
      <c r="J591" s="9">
        <v>21732.6</v>
      </c>
      <c r="K591" s="9">
        <v>12490</v>
      </c>
      <c r="L591" s="9">
        <v>9242.5999999999985</v>
      </c>
      <c r="M591" s="10">
        <v>41913</v>
      </c>
      <c r="N591">
        <v>10</v>
      </c>
      <c r="O591" t="s">
        <v>30</v>
      </c>
      <c r="P591" t="s">
        <v>15</v>
      </c>
      <c r="Q591" s="15">
        <f>Table2[[#This Row],[Discounts]]/Table2[[#This Row],[Gross Sales]]</f>
        <v>0.13</v>
      </c>
    </row>
    <row r="592" spans="1:17" x14ac:dyDescent="0.35">
      <c r="A592" t="s">
        <v>10</v>
      </c>
      <c r="B592" t="s">
        <v>92</v>
      </c>
      <c r="C592" t="s">
        <v>40</v>
      </c>
      <c r="D592" t="s">
        <v>48</v>
      </c>
      <c r="E592" s="9">
        <v>1438.5</v>
      </c>
      <c r="F592">
        <v>10</v>
      </c>
      <c r="G592">
        <v>7</v>
      </c>
      <c r="H592" s="9">
        <v>10069.5</v>
      </c>
      <c r="I592" s="9">
        <v>1309.0350000000001</v>
      </c>
      <c r="J592" s="9">
        <v>8760.4650000000001</v>
      </c>
      <c r="K592" s="9">
        <v>7192.5</v>
      </c>
      <c r="L592" s="9">
        <v>1567.9649999999992</v>
      </c>
      <c r="M592" s="10">
        <v>41640</v>
      </c>
      <c r="N592">
        <v>1</v>
      </c>
      <c r="O592" t="s">
        <v>21</v>
      </c>
      <c r="P592" t="s">
        <v>15</v>
      </c>
      <c r="Q592" s="15">
        <f>Table2[[#This Row],[Discounts]]/Table2[[#This Row],[Gross Sales]]</f>
        <v>0.13</v>
      </c>
    </row>
    <row r="593" spans="1:17" x14ac:dyDescent="0.35">
      <c r="A593" t="s">
        <v>7</v>
      </c>
      <c r="B593" t="s">
        <v>19</v>
      </c>
      <c r="C593" t="s">
        <v>40</v>
      </c>
      <c r="D593" t="s">
        <v>48</v>
      </c>
      <c r="E593" s="9">
        <v>807</v>
      </c>
      <c r="F593">
        <v>10</v>
      </c>
      <c r="G593">
        <v>300</v>
      </c>
      <c r="H593" s="9">
        <v>242100</v>
      </c>
      <c r="I593" s="9">
        <v>31473</v>
      </c>
      <c r="J593" s="9">
        <v>210627</v>
      </c>
      <c r="K593" s="9">
        <v>201750</v>
      </c>
      <c r="L593" s="9">
        <v>8877</v>
      </c>
      <c r="M593" s="10">
        <v>41640</v>
      </c>
      <c r="N593">
        <v>1</v>
      </c>
      <c r="O593" t="s">
        <v>21</v>
      </c>
      <c r="P593" t="s">
        <v>15</v>
      </c>
      <c r="Q593" s="15">
        <f>Table2[[#This Row],[Discounts]]/Table2[[#This Row],[Gross Sales]]</f>
        <v>0.13</v>
      </c>
    </row>
    <row r="594" spans="1:17" x14ac:dyDescent="0.35">
      <c r="A594" t="s">
        <v>10</v>
      </c>
      <c r="B594" t="s">
        <v>92</v>
      </c>
      <c r="C594" t="s">
        <v>40</v>
      </c>
      <c r="D594" t="s">
        <v>48</v>
      </c>
      <c r="E594" s="9">
        <v>2641</v>
      </c>
      <c r="F594">
        <v>10</v>
      </c>
      <c r="G594">
        <v>20</v>
      </c>
      <c r="H594" s="9">
        <v>52820</v>
      </c>
      <c r="I594" s="9">
        <v>6866.6</v>
      </c>
      <c r="J594" s="9">
        <v>45953.4</v>
      </c>
      <c r="K594" s="9">
        <v>26410</v>
      </c>
      <c r="L594" s="9">
        <v>19543.400000000001</v>
      </c>
      <c r="M594" s="10">
        <v>41671</v>
      </c>
      <c r="N594">
        <v>2</v>
      </c>
      <c r="O594" t="s">
        <v>22</v>
      </c>
      <c r="P594" t="s">
        <v>15</v>
      </c>
      <c r="Q594" s="15">
        <f>Table2[[#This Row],[Discounts]]/Table2[[#This Row],[Gross Sales]]</f>
        <v>0.13</v>
      </c>
    </row>
    <row r="595" spans="1:17" x14ac:dyDescent="0.35">
      <c r="A595" t="s">
        <v>10</v>
      </c>
      <c r="B595" t="s">
        <v>19</v>
      </c>
      <c r="C595" t="s">
        <v>40</v>
      </c>
      <c r="D595" t="s">
        <v>48</v>
      </c>
      <c r="E595" s="9">
        <v>2708</v>
      </c>
      <c r="F595">
        <v>10</v>
      </c>
      <c r="G595">
        <v>20</v>
      </c>
      <c r="H595" s="9">
        <v>54160</v>
      </c>
      <c r="I595" s="9">
        <v>7040.8</v>
      </c>
      <c r="J595" s="9">
        <v>47119.199999999997</v>
      </c>
      <c r="K595" s="9">
        <v>27080</v>
      </c>
      <c r="L595" s="9">
        <v>20039.199999999997</v>
      </c>
      <c r="M595" s="10">
        <v>41671</v>
      </c>
      <c r="N595">
        <v>2</v>
      </c>
      <c r="O595" t="s">
        <v>22</v>
      </c>
      <c r="P595" t="s">
        <v>15</v>
      </c>
      <c r="Q595" s="15">
        <f>Table2[[#This Row],[Discounts]]/Table2[[#This Row],[Gross Sales]]</f>
        <v>0.13</v>
      </c>
    </row>
    <row r="596" spans="1:17" x14ac:dyDescent="0.35">
      <c r="A596" t="s">
        <v>10</v>
      </c>
      <c r="B596" t="s">
        <v>16</v>
      </c>
      <c r="C596" t="s">
        <v>40</v>
      </c>
      <c r="D596" t="s">
        <v>48</v>
      </c>
      <c r="E596" s="9">
        <v>2632</v>
      </c>
      <c r="F596">
        <v>10</v>
      </c>
      <c r="G596">
        <v>350</v>
      </c>
      <c r="H596" s="9">
        <v>921200</v>
      </c>
      <c r="I596" s="9">
        <v>119756</v>
      </c>
      <c r="J596" s="9">
        <v>801444</v>
      </c>
      <c r="K596" s="9">
        <v>684320</v>
      </c>
      <c r="L596" s="9">
        <v>117124</v>
      </c>
      <c r="M596" s="10">
        <v>41791</v>
      </c>
      <c r="N596">
        <v>6</v>
      </c>
      <c r="O596" t="s">
        <v>26</v>
      </c>
      <c r="P596" t="s">
        <v>15</v>
      </c>
      <c r="Q596" s="15">
        <f>Table2[[#This Row],[Discounts]]/Table2[[#This Row],[Gross Sales]]</f>
        <v>0.13</v>
      </c>
    </row>
    <row r="597" spans="1:17" x14ac:dyDescent="0.35">
      <c r="A597" t="s">
        <v>9</v>
      </c>
      <c r="B597" t="s">
        <v>16</v>
      </c>
      <c r="C597" t="s">
        <v>40</v>
      </c>
      <c r="D597" t="s">
        <v>48</v>
      </c>
      <c r="E597" s="9">
        <v>1583</v>
      </c>
      <c r="F597">
        <v>10</v>
      </c>
      <c r="G597">
        <v>125</v>
      </c>
      <c r="H597" s="9">
        <v>197875</v>
      </c>
      <c r="I597" s="9">
        <v>25723.75</v>
      </c>
      <c r="J597" s="9">
        <v>172151.25</v>
      </c>
      <c r="K597" s="9">
        <v>189960</v>
      </c>
      <c r="L597" s="9">
        <v>-17808.75</v>
      </c>
      <c r="M597" s="10">
        <v>41791</v>
      </c>
      <c r="N597">
        <v>6</v>
      </c>
      <c r="O597" t="s">
        <v>26</v>
      </c>
      <c r="P597" t="s">
        <v>15</v>
      </c>
      <c r="Q597" s="15">
        <f>Table2[[#This Row],[Discounts]]/Table2[[#This Row],[Gross Sales]]</f>
        <v>0.13</v>
      </c>
    </row>
    <row r="598" spans="1:17" x14ac:dyDescent="0.35">
      <c r="A598" t="s">
        <v>11</v>
      </c>
      <c r="B598" t="s">
        <v>20</v>
      </c>
      <c r="C598" t="s">
        <v>40</v>
      </c>
      <c r="D598" t="s">
        <v>48</v>
      </c>
      <c r="E598" s="9">
        <v>571</v>
      </c>
      <c r="F598">
        <v>10</v>
      </c>
      <c r="G598">
        <v>12</v>
      </c>
      <c r="H598" s="9">
        <v>6852</v>
      </c>
      <c r="I598" s="9">
        <v>890.76</v>
      </c>
      <c r="J598" s="9">
        <v>5961.24</v>
      </c>
      <c r="K598" s="9">
        <v>1713</v>
      </c>
      <c r="L598" s="9">
        <v>4248.24</v>
      </c>
      <c r="M598" s="10">
        <v>41821</v>
      </c>
      <c r="N598">
        <v>7</v>
      </c>
      <c r="O598" t="s">
        <v>27</v>
      </c>
      <c r="P598" t="s">
        <v>15</v>
      </c>
      <c r="Q598" s="15">
        <f>Table2[[#This Row],[Discounts]]/Table2[[#This Row],[Gross Sales]]</f>
        <v>0.13</v>
      </c>
    </row>
    <row r="599" spans="1:17" x14ac:dyDescent="0.35">
      <c r="A599" t="s">
        <v>10</v>
      </c>
      <c r="B599" t="s">
        <v>18</v>
      </c>
      <c r="C599" t="s">
        <v>40</v>
      </c>
      <c r="D599" t="s">
        <v>48</v>
      </c>
      <c r="E599" s="9">
        <v>2696</v>
      </c>
      <c r="F599">
        <v>10</v>
      </c>
      <c r="G599">
        <v>7</v>
      </c>
      <c r="H599" s="9">
        <v>18872</v>
      </c>
      <c r="I599" s="9">
        <v>2453.36</v>
      </c>
      <c r="J599" s="9">
        <v>16418.64</v>
      </c>
      <c r="K599" s="9">
        <v>13480</v>
      </c>
      <c r="L599" s="9">
        <v>2938.6399999999994</v>
      </c>
      <c r="M599" s="10">
        <v>41852</v>
      </c>
      <c r="N599">
        <v>8</v>
      </c>
      <c r="O599" t="s">
        <v>28</v>
      </c>
      <c r="P599" t="s">
        <v>15</v>
      </c>
      <c r="Q599" s="15">
        <f>Table2[[#This Row],[Discounts]]/Table2[[#This Row],[Gross Sales]]</f>
        <v>0.13</v>
      </c>
    </row>
    <row r="600" spans="1:17" x14ac:dyDescent="0.35">
      <c r="A600" t="s">
        <v>8</v>
      </c>
      <c r="B600" t="s">
        <v>16</v>
      </c>
      <c r="C600" t="s">
        <v>40</v>
      </c>
      <c r="D600" t="s">
        <v>48</v>
      </c>
      <c r="E600" s="9">
        <v>1565</v>
      </c>
      <c r="F600">
        <v>10</v>
      </c>
      <c r="G600">
        <v>15</v>
      </c>
      <c r="H600" s="9">
        <v>23475</v>
      </c>
      <c r="I600" s="9">
        <v>3051.75</v>
      </c>
      <c r="J600" s="9">
        <v>20423.25</v>
      </c>
      <c r="K600" s="9">
        <v>15650</v>
      </c>
      <c r="L600" s="9">
        <v>4773.25</v>
      </c>
      <c r="M600" s="10">
        <v>41913</v>
      </c>
      <c r="N600">
        <v>10</v>
      </c>
      <c r="O600" t="s">
        <v>30</v>
      </c>
      <c r="P600" t="s">
        <v>15</v>
      </c>
      <c r="Q600" s="15">
        <f>Table2[[#This Row],[Discounts]]/Table2[[#This Row],[Gross Sales]]</f>
        <v>0.13</v>
      </c>
    </row>
    <row r="601" spans="1:17" x14ac:dyDescent="0.35">
      <c r="A601" t="s">
        <v>10</v>
      </c>
      <c r="B601" t="s">
        <v>16</v>
      </c>
      <c r="C601" t="s">
        <v>40</v>
      </c>
      <c r="D601" t="s">
        <v>48</v>
      </c>
      <c r="E601" s="9">
        <v>1249</v>
      </c>
      <c r="F601">
        <v>10</v>
      </c>
      <c r="G601">
        <v>20</v>
      </c>
      <c r="H601" s="9">
        <v>24980</v>
      </c>
      <c r="I601" s="9">
        <v>3247.4</v>
      </c>
      <c r="J601" s="9">
        <v>21732.6</v>
      </c>
      <c r="K601" s="9">
        <v>12490</v>
      </c>
      <c r="L601" s="9">
        <v>9242.5999999999985</v>
      </c>
      <c r="M601" s="10">
        <v>41913</v>
      </c>
      <c r="N601">
        <v>10</v>
      </c>
      <c r="O601" t="s">
        <v>30</v>
      </c>
      <c r="P601" t="s">
        <v>15</v>
      </c>
      <c r="Q601" s="15">
        <f>Table2[[#This Row],[Discounts]]/Table2[[#This Row],[Gross Sales]]</f>
        <v>0.13</v>
      </c>
    </row>
    <row r="602" spans="1:17" x14ac:dyDescent="0.35">
      <c r="A602" t="s">
        <v>10</v>
      </c>
      <c r="B602" t="s">
        <v>19</v>
      </c>
      <c r="C602" t="s">
        <v>40</v>
      </c>
      <c r="D602" t="s">
        <v>48</v>
      </c>
      <c r="E602" s="9">
        <v>357</v>
      </c>
      <c r="F602">
        <v>10</v>
      </c>
      <c r="G602">
        <v>350</v>
      </c>
      <c r="H602" s="9">
        <v>124950</v>
      </c>
      <c r="I602" s="9">
        <v>16243.5</v>
      </c>
      <c r="J602" s="9">
        <v>108706.5</v>
      </c>
      <c r="K602" s="9">
        <v>92820</v>
      </c>
      <c r="L602" s="9">
        <v>15886.5</v>
      </c>
      <c r="M602" s="10">
        <v>41944</v>
      </c>
      <c r="N602">
        <v>11</v>
      </c>
      <c r="O602" t="s">
        <v>31</v>
      </c>
      <c r="P602" t="s">
        <v>15</v>
      </c>
      <c r="Q602" s="15">
        <f>Table2[[#This Row],[Discounts]]/Table2[[#This Row],[Gross Sales]]</f>
        <v>0.13</v>
      </c>
    </row>
    <row r="603" spans="1:17" x14ac:dyDescent="0.35">
      <c r="A603" t="s">
        <v>11</v>
      </c>
      <c r="B603" t="s">
        <v>19</v>
      </c>
      <c r="C603" t="s">
        <v>40</v>
      </c>
      <c r="D603" t="s">
        <v>48</v>
      </c>
      <c r="E603" s="9">
        <v>1013</v>
      </c>
      <c r="F603">
        <v>10</v>
      </c>
      <c r="G603">
        <v>12</v>
      </c>
      <c r="H603" s="9">
        <v>12156</v>
      </c>
      <c r="I603" s="9">
        <v>1580.28</v>
      </c>
      <c r="J603" s="9">
        <v>10575.72</v>
      </c>
      <c r="K603" s="9">
        <v>3039</v>
      </c>
      <c r="L603" s="9">
        <v>7536.7199999999993</v>
      </c>
      <c r="M603" s="10">
        <v>41974</v>
      </c>
      <c r="N603">
        <v>12</v>
      </c>
      <c r="O603" t="s">
        <v>32</v>
      </c>
      <c r="P603" t="s">
        <v>15</v>
      </c>
      <c r="Q603" s="15">
        <f>Table2[[#This Row],[Discounts]]/Table2[[#This Row],[Gross Sales]]</f>
        <v>0.13</v>
      </c>
    </row>
    <row r="604" spans="1:17" x14ac:dyDescent="0.35">
      <c r="A604" t="s">
        <v>8</v>
      </c>
      <c r="B604" t="s">
        <v>18</v>
      </c>
      <c r="C604" t="s">
        <v>41</v>
      </c>
      <c r="D604" t="s">
        <v>48</v>
      </c>
      <c r="E604" s="9">
        <v>3997.5</v>
      </c>
      <c r="F604">
        <v>120</v>
      </c>
      <c r="G604">
        <v>15</v>
      </c>
      <c r="H604" s="9">
        <v>59962.5</v>
      </c>
      <c r="I604" s="9">
        <v>7795.125</v>
      </c>
      <c r="J604" s="9">
        <v>52167.375</v>
      </c>
      <c r="K604" s="9">
        <v>39975</v>
      </c>
      <c r="L604" s="9">
        <v>12192.375</v>
      </c>
      <c r="M604" s="10">
        <v>41640</v>
      </c>
      <c r="N604">
        <v>1</v>
      </c>
      <c r="O604" t="s">
        <v>21</v>
      </c>
      <c r="P604" t="s">
        <v>15</v>
      </c>
      <c r="Q604" s="15">
        <f>Table2[[#This Row],[Discounts]]/Table2[[#This Row],[Gross Sales]]</f>
        <v>0.13</v>
      </c>
    </row>
    <row r="605" spans="1:17" x14ac:dyDescent="0.35">
      <c r="A605" t="s">
        <v>10</v>
      </c>
      <c r="B605" t="s">
        <v>16</v>
      </c>
      <c r="C605" t="s">
        <v>41</v>
      </c>
      <c r="D605" t="s">
        <v>48</v>
      </c>
      <c r="E605" s="9">
        <v>2632</v>
      </c>
      <c r="F605">
        <v>120</v>
      </c>
      <c r="G605">
        <v>350</v>
      </c>
      <c r="H605" s="9">
        <v>921200</v>
      </c>
      <c r="I605" s="9">
        <v>119756</v>
      </c>
      <c r="J605" s="9">
        <v>801444</v>
      </c>
      <c r="K605" s="9">
        <v>684320</v>
      </c>
      <c r="L605" s="9">
        <v>117124</v>
      </c>
      <c r="M605" s="10">
        <v>41791</v>
      </c>
      <c r="N605">
        <v>6</v>
      </c>
      <c r="O605" t="s">
        <v>26</v>
      </c>
      <c r="P605" t="s">
        <v>15</v>
      </c>
      <c r="Q605" s="15">
        <f>Table2[[#This Row],[Discounts]]/Table2[[#This Row],[Gross Sales]]</f>
        <v>0.13</v>
      </c>
    </row>
    <row r="606" spans="1:17" x14ac:dyDescent="0.35">
      <c r="A606" t="s">
        <v>10</v>
      </c>
      <c r="B606" t="s">
        <v>18</v>
      </c>
      <c r="C606" t="s">
        <v>41</v>
      </c>
      <c r="D606" t="s">
        <v>48</v>
      </c>
      <c r="E606" s="9">
        <v>1190</v>
      </c>
      <c r="F606">
        <v>120</v>
      </c>
      <c r="G606">
        <v>7</v>
      </c>
      <c r="H606" s="9">
        <v>8330</v>
      </c>
      <c r="I606" s="9">
        <v>1082.9000000000001</v>
      </c>
      <c r="J606" s="9">
        <v>7247.1</v>
      </c>
      <c r="K606" s="9">
        <v>5950</v>
      </c>
      <c r="L606" s="9">
        <v>1297.1000000000004</v>
      </c>
      <c r="M606" s="10">
        <v>41791</v>
      </c>
      <c r="N606">
        <v>6</v>
      </c>
      <c r="O606" t="s">
        <v>26</v>
      </c>
      <c r="P606" t="s">
        <v>15</v>
      </c>
      <c r="Q606" s="15">
        <f>Table2[[#This Row],[Discounts]]/Table2[[#This Row],[Gross Sales]]</f>
        <v>0.13</v>
      </c>
    </row>
    <row r="607" spans="1:17" x14ac:dyDescent="0.35">
      <c r="A607" t="s">
        <v>11</v>
      </c>
      <c r="B607" t="s">
        <v>20</v>
      </c>
      <c r="C607" t="s">
        <v>41</v>
      </c>
      <c r="D607" t="s">
        <v>48</v>
      </c>
      <c r="E607" s="9">
        <v>604</v>
      </c>
      <c r="F607">
        <v>120</v>
      </c>
      <c r="G607">
        <v>12</v>
      </c>
      <c r="H607" s="9">
        <v>7248</v>
      </c>
      <c r="I607" s="9">
        <v>942.24</v>
      </c>
      <c r="J607" s="9">
        <v>6305.76</v>
      </c>
      <c r="K607" s="9">
        <v>1812</v>
      </c>
      <c r="L607" s="9">
        <v>4493.76</v>
      </c>
      <c r="M607" s="10">
        <v>41791</v>
      </c>
      <c r="N607">
        <v>6</v>
      </c>
      <c r="O607" t="s">
        <v>26</v>
      </c>
      <c r="P607" t="s">
        <v>15</v>
      </c>
      <c r="Q607" s="15">
        <f>Table2[[#This Row],[Discounts]]/Table2[[#This Row],[Gross Sales]]</f>
        <v>0.13</v>
      </c>
    </row>
    <row r="608" spans="1:17" x14ac:dyDescent="0.35">
      <c r="A608" t="s">
        <v>8</v>
      </c>
      <c r="B608" t="s">
        <v>19</v>
      </c>
      <c r="C608" t="s">
        <v>41</v>
      </c>
      <c r="D608" t="s">
        <v>48</v>
      </c>
      <c r="E608" s="9">
        <v>660</v>
      </c>
      <c r="F608">
        <v>120</v>
      </c>
      <c r="G608">
        <v>15</v>
      </c>
      <c r="H608" s="9">
        <v>9900</v>
      </c>
      <c r="I608" s="9">
        <v>1287</v>
      </c>
      <c r="J608" s="9">
        <v>8613</v>
      </c>
      <c r="K608" s="9">
        <v>6600</v>
      </c>
      <c r="L608" s="9">
        <v>2013</v>
      </c>
      <c r="M608" s="10">
        <v>41518</v>
      </c>
      <c r="N608">
        <v>9</v>
      </c>
      <c r="O608" t="s">
        <v>29</v>
      </c>
      <c r="P608" t="s">
        <v>14</v>
      </c>
      <c r="Q608" s="15">
        <f>Table2[[#This Row],[Discounts]]/Table2[[#This Row],[Gross Sales]]</f>
        <v>0.13</v>
      </c>
    </row>
    <row r="609" spans="1:17" x14ac:dyDescent="0.35">
      <c r="A609" t="s">
        <v>11</v>
      </c>
      <c r="B609" t="s">
        <v>20</v>
      </c>
      <c r="C609" t="s">
        <v>41</v>
      </c>
      <c r="D609" t="s">
        <v>48</v>
      </c>
      <c r="E609" s="9">
        <v>410</v>
      </c>
      <c r="F609">
        <v>120</v>
      </c>
      <c r="G609">
        <v>12</v>
      </c>
      <c r="H609" s="9">
        <v>4920</v>
      </c>
      <c r="I609" s="9">
        <v>639.6</v>
      </c>
      <c r="J609" s="9">
        <v>4280.3999999999996</v>
      </c>
      <c r="K609" s="9">
        <v>1230</v>
      </c>
      <c r="L609" s="9">
        <v>3050.3999999999996</v>
      </c>
      <c r="M609" s="10">
        <v>41913</v>
      </c>
      <c r="N609">
        <v>10</v>
      </c>
      <c r="O609" t="s">
        <v>30</v>
      </c>
      <c r="P609" t="s">
        <v>15</v>
      </c>
      <c r="Q609" s="15">
        <f>Table2[[#This Row],[Discounts]]/Table2[[#This Row],[Gross Sales]]</f>
        <v>0.13</v>
      </c>
    </row>
    <row r="610" spans="1:17" x14ac:dyDescent="0.35">
      <c r="A610" t="s">
        <v>7</v>
      </c>
      <c r="B610" t="s">
        <v>20</v>
      </c>
      <c r="C610" t="s">
        <v>41</v>
      </c>
      <c r="D610" t="s">
        <v>48</v>
      </c>
      <c r="E610" s="9">
        <v>2605</v>
      </c>
      <c r="F610">
        <v>120</v>
      </c>
      <c r="G610">
        <v>300</v>
      </c>
      <c r="H610" s="9">
        <v>781500</v>
      </c>
      <c r="I610" s="9">
        <v>101595</v>
      </c>
      <c r="J610" s="9">
        <v>679905</v>
      </c>
      <c r="K610" s="9">
        <v>651250</v>
      </c>
      <c r="L610" s="9">
        <v>28655</v>
      </c>
      <c r="M610" s="10">
        <v>41579</v>
      </c>
      <c r="N610">
        <v>11</v>
      </c>
      <c r="O610" t="s">
        <v>31</v>
      </c>
      <c r="P610" t="s">
        <v>14</v>
      </c>
      <c r="Q610" s="15">
        <f>Table2[[#This Row],[Discounts]]/Table2[[#This Row],[Gross Sales]]</f>
        <v>0.13</v>
      </c>
    </row>
    <row r="611" spans="1:17" x14ac:dyDescent="0.35">
      <c r="A611" t="s">
        <v>11</v>
      </c>
      <c r="B611" t="s">
        <v>19</v>
      </c>
      <c r="C611" t="s">
        <v>41</v>
      </c>
      <c r="D611" t="s">
        <v>48</v>
      </c>
      <c r="E611" s="9">
        <v>1013</v>
      </c>
      <c r="F611">
        <v>120</v>
      </c>
      <c r="G611">
        <v>12</v>
      </c>
      <c r="H611" s="9">
        <v>12156</v>
      </c>
      <c r="I611" s="9">
        <v>1580.28</v>
      </c>
      <c r="J611" s="9">
        <v>10575.72</v>
      </c>
      <c r="K611" s="9">
        <v>3039</v>
      </c>
      <c r="L611" s="9">
        <v>7536.7199999999993</v>
      </c>
      <c r="M611" s="10">
        <v>41974</v>
      </c>
      <c r="N611">
        <v>12</v>
      </c>
      <c r="O611" t="s">
        <v>32</v>
      </c>
      <c r="P611" t="s">
        <v>15</v>
      </c>
      <c r="Q611" s="15">
        <f>Table2[[#This Row],[Discounts]]/Table2[[#This Row],[Gross Sales]]</f>
        <v>0.13</v>
      </c>
    </row>
    <row r="612" spans="1:17" x14ac:dyDescent="0.35">
      <c r="A612" t="s">
        <v>9</v>
      </c>
      <c r="B612" t="s">
        <v>16</v>
      </c>
      <c r="C612" t="s">
        <v>42</v>
      </c>
      <c r="D612" t="s">
        <v>48</v>
      </c>
      <c r="E612" s="9">
        <v>1583</v>
      </c>
      <c r="F612">
        <v>250</v>
      </c>
      <c r="G612">
        <v>125</v>
      </c>
      <c r="H612" s="9">
        <v>197875</v>
      </c>
      <c r="I612" s="9">
        <v>25723.75</v>
      </c>
      <c r="J612" s="9">
        <v>172151.25</v>
      </c>
      <c r="K612" s="9">
        <v>189960</v>
      </c>
      <c r="L612" s="9">
        <v>-17808.75</v>
      </c>
      <c r="M612" s="10">
        <v>41791</v>
      </c>
      <c r="N612">
        <v>6</v>
      </c>
      <c r="O612" t="s">
        <v>26</v>
      </c>
      <c r="P612" t="s">
        <v>15</v>
      </c>
      <c r="Q612" s="15">
        <f>Table2[[#This Row],[Discounts]]/Table2[[#This Row],[Gross Sales]]</f>
        <v>0.13</v>
      </c>
    </row>
    <row r="613" spans="1:17" x14ac:dyDescent="0.35">
      <c r="A613" t="s">
        <v>8</v>
      </c>
      <c r="B613" t="s">
        <v>16</v>
      </c>
      <c r="C613" t="s">
        <v>42</v>
      </c>
      <c r="D613" t="s">
        <v>48</v>
      </c>
      <c r="E613" s="9">
        <v>1565</v>
      </c>
      <c r="F613">
        <v>250</v>
      </c>
      <c r="G613">
        <v>15</v>
      </c>
      <c r="H613" s="9">
        <v>23475</v>
      </c>
      <c r="I613" s="9">
        <v>3051.75</v>
      </c>
      <c r="J613" s="9">
        <v>20423.25</v>
      </c>
      <c r="K613" s="9">
        <v>15650</v>
      </c>
      <c r="L613" s="9">
        <v>4773.25</v>
      </c>
      <c r="M613" s="10">
        <v>41913</v>
      </c>
      <c r="N613">
        <v>10</v>
      </c>
      <c r="O613" t="s">
        <v>30</v>
      </c>
      <c r="P613" t="s">
        <v>15</v>
      </c>
      <c r="Q613" s="15">
        <f>Table2[[#This Row],[Discounts]]/Table2[[#This Row],[Gross Sales]]</f>
        <v>0.13</v>
      </c>
    </row>
    <row r="614" spans="1:17" x14ac:dyDescent="0.35">
      <c r="A614" t="s">
        <v>9</v>
      </c>
      <c r="B614" t="s">
        <v>16</v>
      </c>
      <c r="C614" t="s">
        <v>43</v>
      </c>
      <c r="D614" t="s">
        <v>48</v>
      </c>
      <c r="E614" s="9">
        <v>1659</v>
      </c>
      <c r="F614">
        <v>260</v>
      </c>
      <c r="G614">
        <v>125</v>
      </c>
      <c r="H614" s="9">
        <v>207375</v>
      </c>
      <c r="I614" s="9">
        <v>26958.75</v>
      </c>
      <c r="J614" s="9">
        <v>180416.25</v>
      </c>
      <c r="K614" s="9">
        <v>199080</v>
      </c>
      <c r="L614" s="9">
        <v>-18663.75</v>
      </c>
      <c r="M614" s="10">
        <v>41640</v>
      </c>
      <c r="N614">
        <v>1</v>
      </c>
      <c r="O614" t="s">
        <v>21</v>
      </c>
      <c r="P614" t="s">
        <v>15</v>
      </c>
      <c r="Q614" s="15">
        <f>Table2[[#This Row],[Discounts]]/Table2[[#This Row],[Gross Sales]]</f>
        <v>0.13</v>
      </c>
    </row>
    <row r="615" spans="1:17" x14ac:dyDescent="0.35">
      <c r="A615" t="s">
        <v>10</v>
      </c>
      <c r="B615" t="s">
        <v>18</v>
      </c>
      <c r="C615" t="s">
        <v>43</v>
      </c>
      <c r="D615" t="s">
        <v>48</v>
      </c>
      <c r="E615" s="9">
        <v>1190</v>
      </c>
      <c r="F615">
        <v>260</v>
      </c>
      <c r="G615">
        <v>7</v>
      </c>
      <c r="H615" s="9">
        <v>8330</v>
      </c>
      <c r="I615" s="9">
        <v>1082.9000000000001</v>
      </c>
      <c r="J615" s="9">
        <v>7247.1</v>
      </c>
      <c r="K615" s="9">
        <v>5950</v>
      </c>
      <c r="L615" s="9">
        <v>1297.1000000000004</v>
      </c>
      <c r="M615" s="10">
        <v>41791</v>
      </c>
      <c r="N615">
        <v>6</v>
      </c>
      <c r="O615" t="s">
        <v>26</v>
      </c>
      <c r="P615" t="s">
        <v>15</v>
      </c>
      <c r="Q615" s="15">
        <f>Table2[[#This Row],[Discounts]]/Table2[[#This Row],[Gross Sales]]</f>
        <v>0.13</v>
      </c>
    </row>
    <row r="616" spans="1:17" x14ac:dyDescent="0.35">
      <c r="A616" t="s">
        <v>11</v>
      </c>
      <c r="B616" t="s">
        <v>20</v>
      </c>
      <c r="C616" t="s">
        <v>43</v>
      </c>
      <c r="D616" t="s">
        <v>48</v>
      </c>
      <c r="E616" s="9">
        <v>410</v>
      </c>
      <c r="F616">
        <v>260</v>
      </c>
      <c r="G616">
        <v>12</v>
      </c>
      <c r="H616" s="9">
        <v>4920</v>
      </c>
      <c r="I616" s="9">
        <v>639.6</v>
      </c>
      <c r="J616" s="9">
        <v>4280.3999999999996</v>
      </c>
      <c r="K616" s="9">
        <v>1230</v>
      </c>
      <c r="L616" s="9">
        <v>3050.3999999999996</v>
      </c>
      <c r="M616" s="10">
        <v>41913</v>
      </c>
      <c r="N616">
        <v>10</v>
      </c>
      <c r="O616" t="s">
        <v>30</v>
      </c>
      <c r="P616" t="s">
        <v>15</v>
      </c>
      <c r="Q616" s="15">
        <f>Table2[[#This Row],[Discounts]]/Table2[[#This Row],[Gross Sales]]</f>
        <v>0.13</v>
      </c>
    </row>
    <row r="617" spans="1:17" x14ac:dyDescent="0.35">
      <c r="A617" t="s">
        <v>11</v>
      </c>
      <c r="B617" t="s">
        <v>19</v>
      </c>
      <c r="C617" t="s">
        <v>43</v>
      </c>
      <c r="D617" t="s">
        <v>48</v>
      </c>
      <c r="E617" s="9">
        <v>1770</v>
      </c>
      <c r="F617">
        <v>260</v>
      </c>
      <c r="G617">
        <v>12</v>
      </c>
      <c r="H617" s="9">
        <v>21240</v>
      </c>
      <c r="I617" s="9">
        <v>2761.2</v>
      </c>
      <c r="J617" s="9">
        <v>18478.8</v>
      </c>
      <c r="K617" s="9">
        <v>5310</v>
      </c>
      <c r="L617" s="9">
        <v>13168.8</v>
      </c>
      <c r="M617" s="10">
        <v>41609</v>
      </c>
      <c r="N617">
        <v>12</v>
      </c>
      <c r="O617" t="s">
        <v>32</v>
      </c>
      <c r="P617" t="s">
        <v>14</v>
      </c>
      <c r="Q617" s="15">
        <f>Table2[[#This Row],[Discounts]]/Table2[[#This Row],[Gross Sales]]</f>
        <v>0.13</v>
      </c>
    </row>
    <row r="618" spans="1:17" x14ac:dyDescent="0.35">
      <c r="A618" t="s">
        <v>10</v>
      </c>
      <c r="B618" t="s">
        <v>20</v>
      </c>
      <c r="C618" t="s">
        <v>38</v>
      </c>
      <c r="D618" t="s">
        <v>48</v>
      </c>
      <c r="E618" s="9">
        <v>2579</v>
      </c>
      <c r="F618">
        <v>3</v>
      </c>
      <c r="G618">
        <v>20</v>
      </c>
      <c r="H618" s="9">
        <v>51580</v>
      </c>
      <c r="I618" s="9">
        <v>7221.2</v>
      </c>
      <c r="J618" s="9">
        <v>44358.8</v>
      </c>
      <c r="K618" s="9">
        <v>25790</v>
      </c>
      <c r="L618" s="9">
        <v>18568.800000000003</v>
      </c>
      <c r="M618" s="10">
        <v>41730</v>
      </c>
      <c r="N618">
        <v>4</v>
      </c>
      <c r="O618" t="s">
        <v>24</v>
      </c>
      <c r="P618" t="s">
        <v>15</v>
      </c>
      <c r="Q618" s="15">
        <f>Table2[[#This Row],[Discounts]]/Table2[[#This Row],[Gross Sales]]</f>
        <v>0.13999999999999999</v>
      </c>
    </row>
    <row r="619" spans="1:17" x14ac:dyDescent="0.35">
      <c r="A619" t="s">
        <v>10</v>
      </c>
      <c r="B619" t="s">
        <v>92</v>
      </c>
      <c r="C619" t="s">
        <v>38</v>
      </c>
      <c r="D619" t="s">
        <v>48</v>
      </c>
      <c r="E619" s="9">
        <v>1743</v>
      </c>
      <c r="F619">
        <v>3</v>
      </c>
      <c r="G619">
        <v>20</v>
      </c>
      <c r="H619" s="9">
        <v>34860</v>
      </c>
      <c r="I619" s="9">
        <v>4880.3999999999996</v>
      </c>
      <c r="J619" s="9">
        <v>29979.599999999999</v>
      </c>
      <c r="K619" s="9">
        <v>17430</v>
      </c>
      <c r="L619" s="9">
        <v>12549.599999999999</v>
      </c>
      <c r="M619" s="10">
        <v>41760</v>
      </c>
      <c r="N619">
        <v>5</v>
      </c>
      <c r="O619" t="s">
        <v>25</v>
      </c>
      <c r="P619" t="s">
        <v>15</v>
      </c>
      <c r="Q619" s="15">
        <f>Table2[[#This Row],[Discounts]]/Table2[[#This Row],[Gross Sales]]</f>
        <v>0.13999999999999999</v>
      </c>
    </row>
    <row r="620" spans="1:17" x14ac:dyDescent="0.35">
      <c r="A620" t="s">
        <v>10</v>
      </c>
      <c r="B620" t="s">
        <v>92</v>
      </c>
      <c r="C620" t="s">
        <v>38</v>
      </c>
      <c r="D620" t="s">
        <v>48</v>
      </c>
      <c r="E620" s="9">
        <v>2996</v>
      </c>
      <c r="F620">
        <v>3</v>
      </c>
      <c r="G620">
        <v>7</v>
      </c>
      <c r="H620" s="9">
        <v>20972</v>
      </c>
      <c r="I620" s="9">
        <v>2936.08</v>
      </c>
      <c r="J620" s="9">
        <v>18035.919999999998</v>
      </c>
      <c r="K620" s="9">
        <v>14980</v>
      </c>
      <c r="L620" s="9">
        <v>3055.9199999999983</v>
      </c>
      <c r="M620" s="10">
        <v>41548</v>
      </c>
      <c r="N620">
        <v>10</v>
      </c>
      <c r="O620" t="s">
        <v>30</v>
      </c>
      <c r="P620" t="s">
        <v>14</v>
      </c>
      <c r="Q620" s="15">
        <f>Table2[[#This Row],[Discounts]]/Table2[[#This Row],[Gross Sales]]</f>
        <v>0.13999999999999999</v>
      </c>
    </row>
    <row r="621" spans="1:17" x14ac:dyDescent="0.35">
      <c r="A621" t="s">
        <v>10</v>
      </c>
      <c r="B621" t="s">
        <v>19</v>
      </c>
      <c r="C621" t="s">
        <v>38</v>
      </c>
      <c r="D621" t="s">
        <v>48</v>
      </c>
      <c r="E621" s="9">
        <v>280</v>
      </c>
      <c r="F621">
        <v>3</v>
      </c>
      <c r="G621">
        <v>7</v>
      </c>
      <c r="H621" s="9">
        <v>1960</v>
      </c>
      <c r="I621" s="9">
        <v>274.39999999999998</v>
      </c>
      <c r="J621" s="9">
        <v>1685.6</v>
      </c>
      <c r="K621" s="9">
        <v>1400</v>
      </c>
      <c r="L621" s="9">
        <v>285.59999999999991</v>
      </c>
      <c r="M621" s="10">
        <v>41974</v>
      </c>
      <c r="N621">
        <v>12</v>
      </c>
      <c r="O621" t="s">
        <v>32</v>
      </c>
      <c r="P621" t="s">
        <v>15</v>
      </c>
      <c r="Q621" s="15">
        <f>Table2[[#This Row],[Discounts]]/Table2[[#This Row],[Gross Sales]]</f>
        <v>0.13999999999999999</v>
      </c>
    </row>
    <row r="622" spans="1:17" x14ac:dyDescent="0.35">
      <c r="A622" t="s">
        <v>10</v>
      </c>
      <c r="B622" t="s">
        <v>18</v>
      </c>
      <c r="C622" t="s">
        <v>39</v>
      </c>
      <c r="D622" t="s">
        <v>48</v>
      </c>
      <c r="E622" s="9">
        <v>293</v>
      </c>
      <c r="F622">
        <v>5</v>
      </c>
      <c r="G622">
        <v>7</v>
      </c>
      <c r="H622" s="9">
        <v>2051</v>
      </c>
      <c r="I622" s="9">
        <v>287.14</v>
      </c>
      <c r="J622" s="9">
        <v>1763.8600000000001</v>
      </c>
      <c r="K622" s="9">
        <v>1465</v>
      </c>
      <c r="L622" s="9">
        <v>298.86000000000013</v>
      </c>
      <c r="M622" s="10">
        <v>41671</v>
      </c>
      <c r="N622">
        <v>2</v>
      </c>
      <c r="O622" t="s">
        <v>22</v>
      </c>
      <c r="P622" t="s">
        <v>15</v>
      </c>
      <c r="Q622" s="15">
        <f>Table2[[#This Row],[Discounts]]/Table2[[#This Row],[Gross Sales]]</f>
        <v>0.13999999999999999</v>
      </c>
    </row>
    <row r="623" spans="1:17" x14ac:dyDescent="0.35">
      <c r="A623" t="s">
        <v>10</v>
      </c>
      <c r="B623" t="s">
        <v>92</v>
      </c>
      <c r="C623" t="s">
        <v>39</v>
      </c>
      <c r="D623" t="s">
        <v>48</v>
      </c>
      <c r="E623" s="9">
        <v>2996</v>
      </c>
      <c r="F623">
        <v>5</v>
      </c>
      <c r="G623">
        <v>7</v>
      </c>
      <c r="H623" s="9">
        <v>20972</v>
      </c>
      <c r="I623" s="9">
        <v>2936.08</v>
      </c>
      <c r="J623" s="9">
        <v>18035.919999999998</v>
      </c>
      <c r="K623" s="9">
        <v>14980</v>
      </c>
      <c r="L623" s="9">
        <v>3055.9199999999983</v>
      </c>
      <c r="M623" s="10">
        <v>41548</v>
      </c>
      <c r="N623">
        <v>10</v>
      </c>
      <c r="O623" t="s">
        <v>30</v>
      </c>
      <c r="P623" t="s">
        <v>14</v>
      </c>
      <c r="Q623" s="15">
        <f>Table2[[#This Row],[Discounts]]/Table2[[#This Row],[Gross Sales]]</f>
        <v>0.13999999999999999</v>
      </c>
    </row>
    <row r="624" spans="1:17" x14ac:dyDescent="0.35">
      <c r="A624" t="s">
        <v>8</v>
      </c>
      <c r="B624" t="s">
        <v>19</v>
      </c>
      <c r="C624" t="s">
        <v>40</v>
      </c>
      <c r="D624" t="s">
        <v>48</v>
      </c>
      <c r="E624" s="9">
        <v>278</v>
      </c>
      <c r="F624">
        <v>10</v>
      </c>
      <c r="G624">
        <v>15</v>
      </c>
      <c r="H624" s="9">
        <v>4170</v>
      </c>
      <c r="I624" s="9">
        <v>583.79999999999995</v>
      </c>
      <c r="J624" s="9">
        <v>3586.2</v>
      </c>
      <c r="K624" s="9">
        <v>2780</v>
      </c>
      <c r="L624" s="9">
        <v>806.19999999999982</v>
      </c>
      <c r="M624" s="10">
        <v>41671</v>
      </c>
      <c r="N624">
        <v>2</v>
      </c>
      <c r="O624" t="s">
        <v>22</v>
      </c>
      <c r="P624" t="s">
        <v>15</v>
      </c>
      <c r="Q624" s="15">
        <f>Table2[[#This Row],[Discounts]]/Table2[[#This Row],[Gross Sales]]</f>
        <v>0.13999999999999999</v>
      </c>
    </row>
    <row r="625" spans="1:17" x14ac:dyDescent="0.35">
      <c r="A625" t="s">
        <v>10</v>
      </c>
      <c r="B625" t="s">
        <v>16</v>
      </c>
      <c r="C625" t="s">
        <v>40</v>
      </c>
      <c r="D625" t="s">
        <v>48</v>
      </c>
      <c r="E625" s="9">
        <v>2428</v>
      </c>
      <c r="F625">
        <v>10</v>
      </c>
      <c r="G625">
        <v>20</v>
      </c>
      <c r="H625" s="9">
        <v>48560</v>
      </c>
      <c r="I625" s="9">
        <v>6798.4</v>
      </c>
      <c r="J625" s="9">
        <v>41761.599999999999</v>
      </c>
      <c r="K625" s="9">
        <v>24280</v>
      </c>
      <c r="L625" s="9">
        <v>17481.599999999999</v>
      </c>
      <c r="M625" s="10">
        <v>41699</v>
      </c>
      <c r="N625">
        <v>3</v>
      </c>
      <c r="O625" t="s">
        <v>23</v>
      </c>
      <c r="P625" t="s">
        <v>15</v>
      </c>
      <c r="Q625" s="15">
        <f>Table2[[#This Row],[Discounts]]/Table2[[#This Row],[Gross Sales]]</f>
        <v>0.13999999999999999</v>
      </c>
    </row>
    <row r="626" spans="1:17" x14ac:dyDescent="0.35">
      <c r="A626" t="s">
        <v>8</v>
      </c>
      <c r="B626" t="s">
        <v>92</v>
      </c>
      <c r="C626" t="s">
        <v>40</v>
      </c>
      <c r="D626" t="s">
        <v>48</v>
      </c>
      <c r="E626" s="9">
        <v>1767</v>
      </c>
      <c r="F626">
        <v>10</v>
      </c>
      <c r="G626">
        <v>15</v>
      </c>
      <c r="H626" s="9">
        <v>26505</v>
      </c>
      <c r="I626" s="9">
        <v>3710.7</v>
      </c>
      <c r="J626" s="9">
        <v>22794.3</v>
      </c>
      <c r="K626" s="9">
        <v>17670</v>
      </c>
      <c r="L626" s="9">
        <v>5124.2999999999993</v>
      </c>
      <c r="M626" s="10">
        <v>41883</v>
      </c>
      <c r="N626">
        <v>9</v>
      </c>
      <c r="O626" t="s">
        <v>29</v>
      </c>
      <c r="P626" t="s">
        <v>15</v>
      </c>
      <c r="Q626" s="15">
        <f>Table2[[#This Row],[Discounts]]/Table2[[#This Row],[Gross Sales]]</f>
        <v>0.13999999999999999</v>
      </c>
    </row>
    <row r="627" spans="1:17" x14ac:dyDescent="0.35">
      <c r="A627" t="s">
        <v>11</v>
      </c>
      <c r="B627" t="s">
        <v>18</v>
      </c>
      <c r="C627" t="s">
        <v>40</v>
      </c>
      <c r="D627" t="s">
        <v>48</v>
      </c>
      <c r="E627" s="9">
        <v>1393</v>
      </c>
      <c r="F627">
        <v>10</v>
      </c>
      <c r="G627">
        <v>12</v>
      </c>
      <c r="H627" s="9">
        <v>16716</v>
      </c>
      <c r="I627" s="9">
        <v>2340.2399999999998</v>
      </c>
      <c r="J627" s="9">
        <v>14375.76</v>
      </c>
      <c r="K627" s="9">
        <v>4179</v>
      </c>
      <c r="L627" s="9">
        <v>10196.76</v>
      </c>
      <c r="M627" s="10">
        <v>41913</v>
      </c>
      <c r="N627">
        <v>10</v>
      </c>
      <c r="O627" t="s">
        <v>30</v>
      </c>
      <c r="P627" t="s">
        <v>15</v>
      </c>
      <c r="Q627" s="15">
        <f>Table2[[#This Row],[Discounts]]/Table2[[#This Row],[Gross Sales]]</f>
        <v>0.13999999999999999</v>
      </c>
    </row>
    <row r="628" spans="1:17" x14ac:dyDescent="0.35">
      <c r="A628" t="s">
        <v>10</v>
      </c>
      <c r="B628" t="s">
        <v>19</v>
      </c>
      <c r="C628" t="s">
        <v>42</v>
      </c>
      <c r="D628" t="s">
        <v>48</v>
      </c>
      <c r="E628" s="9">
        <v>280</v>
      </c>
      <c r="F628">
        <v>250</v>
      </c>
      <c r="G628">
        <v>7</v>
      </c>
      <c r="H628" s="9">
        <v>1960</v>
      </c>
      <c r="I628" s="9">
        <v>274.39999999999998</v>
      </c>
      <c r="J628" s="9">
        <v>1685.6</v>
      </c>
      <c r="K628" s="9">
        <v>1400</v>
      </c>
      <c r="L628" s="9">
        <v>285.59999999999991</v>
      </c>
      <c r="M628" s="10">
        <v>41974</v>
      </c>
      <c r="N628">
        <v>12</v>
      </c>
      <c r="O628" t="s">
        <v>32</v>
      </c>
      <c r="P628" t="s">
        <v>15</v>
      </c>
      <c r="Q628" s="15">
        <f>Table2[[#This Row],[Discounts]]/Table2[[#This Row],[Gross Sales]]</f>
        <v>0.13999999999999999</v>
      </c>
    </row>
    <row r="629" spans="1:17" x14ac:dyDescent="0.35">
      <c r="A629" t="s">
        <v>11</v>
      </c>
      <c r="B629" t="s">
        <v>18</v>
      </c>
      <c r="C629" t="s">
        <v>43</v>
      </c>
      <c r="D629" t="s">
        <v>48</v>
      </c>
      <c r="E629" s="9">
        <v>1393</v>
      </c>
      <c r="F629">
        <v>260</v>
      </c>
      <c r="G629">
        <v>12</v>
      </c>
      <c r="H629" s="9">
        <v>16716</v>
      </c>
      <c r="I629" s="9">
        <v>2340.2399999999998</v>
      </c>
      <c r="J629" s="9">
        <v>14375.76</v>
      </c>
      <c r="K629" s="9">
        <v>4179</v>
      </c>
      <c r="L629" s="9">
        <v>10196.76</v>
      </c>
      <c r="M629" s="10">
        <v>41913</v>
      </c>
      <c r="N629">
        <v>10</v>
      </c>
      <c r="O629" t="s">
        <v>30</v>
      </c>
      <c r="P629" t="s">
        <v>15</v>
      </c>
      <c r="Q629" s="15">
        <f>Table2[[#This Row],[Discounts]]/Table2[[#This Row],[Gross Sales]]</f>
        <v>0.13999999999999999</v>
      </c>
    </row>
    <row r="630" spans="1:17" x14ac:dyDescent="0.35">
      <c r="A630" t="s">
        <v>11</v>
      </c>
      <c r="B630" t="s">
        <v>92</v>
      </c>
      <c r="C630" t="s">
        <v>43</v>
      </c>
      <c r="D630" t="s">
        <v>48</v>
      </c>
      <c r="E630" s="9">
        <v>2015</v>
      </c>
      <c r="F630">
        <v>260</v>
      </c>
      <c r="G630">
        <v>12</v>
      </c>
      <c r="H630" s="9">
        <v>24180</v>
      </c>
      <c r="I630" s="9">
        <v>3385.2</v>
      </c>
      <c r="J630" s="9">
        <v>20794.8</v>
      </c>
      <c r="K630" s="9">
        <v>6045</v>
      </c>
      <c r="L630" s="9">
        <v>14749.8</v>
      </c>
      <c r="M630" s="10">
        <v>41609</v>
      </c>
      <c r="N630">
        <v>12</v>
      </c>
      <c r="O630" t="s">
        <v>32</v>
      </c>
      <c r="P630" t="s">
        <v>14</v>
      </c>
      <c r="Q630" s="15">
        <f>Table2[[#This Row],[Discounts]]/Table2[[#This Row],[Gross Sales]]</f>
        <v>0.13999999999999999</v>
      </c>
    </row>
    <row r="631" spans="1:17" x14ac:dyDescent="0.35">
      <c r="A631" t="s">
        <v>7</v>
      </c>
      <c r="B631" t="s">
        <v>20</v>
      </c>
      <c r="C631" t="s">
        <v>38</v>
      </c>
      <c r="D631" t="s">
        <v>48</v>
      </c>
      <c r="E631" s="9">
        <v>801</v>
      </c>
      <c r="F631">
        <v>3</v>
      </c>
      <c r="G631">
        <v>300</v>
      </c>
      <c r="H631" s="9">
        <v>240300</v>
      </c>
      <c r="I631" s="9">
        <v>33642</v>
      </c>
      <c r="J631" s="9">
        <v>206658</v>
      </c>
      <c r="K631" s="9">
        <v>200250</v>
      </c>
      <c r="L631" s="9">
        <v>6408</v>
      </c>
      <c r="M631" s="10">
        <v>41821</v>
      </c>
      <c r="N631">
        <v>7</v>
      </c>
      <c r="O631" t="s">
        <v>27</v>
      </c>
      <c r="P631" t="s">
        <v>15</v>
      </c>
      <c r="Q631" s="15">
        <f>Table2[[#This Row],[Discounts]]/Table2[[#This Row],[Gross Sales]]</f>
        <v>0.14000000000000001</v>
      </c>
    </row>
    <row r="632" spans="1:17" x14ac:dyDescent="0.35">
      <c r="A632" t="s">
        <v>9</v>
      </c>
      <c r="B632" t="s">
        <v>18</v>
      </c>
      <c r="C632" t="s">
        <v>38</v>
      </c>
      <c r="D632" t="s">
        <v>48</v>
      </c>
      <c r="E632" s="9">
        <v>1023</v>
      </c>
      <c r="F632">
        <v>3</v>
      </c>
      <c r="G632">
        <v>125</v>
      </c>
      <c r="H632" s="9">
        <v>127875</v>
      </c>
      <c r="I632" s="9">
        <v>17902.5</v>
      </c>
      <c r="J632" s="9">
        <v>109972.5</v>
      </c>
      <c r="K632" s="9">
        <v>122760</v>
      </c>
      <c r="L632" s="9">
        <v>-12787.5</v>
      </c>
      <c r="M632" s="10">
        <v>41518</v>
      </c>
      <c r="N632">
        <v>9</v>
      </c>
      <c r="O632" t="s">
        <v>29</v>
      </c>
      <c r="P632" t="s">
        <v>14</v>
      </c>
      <c r="Q632" s="15">
        <f>Table2[[#This Row],[Discounts]]/Table2[[#This Row],[Gross Sales]]</f>
        <v>0.14000000000000001</v>
      </c>
    </row>
    <row r="633" spans="1:17" x14ac:dyDescent="0.35">
      <c r="A633" t="s">
        <v>7</v>
      </c>
      <c r="B633" t="s">
        <v>16</v>
      </c>
      <c r="C633" t="s">
        <v>38</v>
      </c>
      <c r="D633" t="s">
        <v>48</v>
      </c>
      <c r="E633" s="9">
        <v>1496</v>
      </c>
      <c r="F633">
        <v>3</v>
      </c>
      <c r="G633">
        <v>300</v>
      </c>
      <c r="H633" s="9">
        <v>448800</v>
      </c>
      <c r="I633" s="9">
        <v>62832</v>
      </c>
      <c r="J633" s="9">
        <v>385968</v>
      </c>
      <c r="K633" s="9">
        <v>374000</v>
      </c>
      <c r="L633" s="9">
        <v>11968</v>
      </c>
      <c r="M633" s="10">
        <v>41913</v>
      </c>
      <c r="N633">
        <v>10</v>
      </c>
      <c r="O633" t="s">
        <v>30</v>
      </c>
      <c r="P633" t="s">
        <v>15</v>
      </c>
      <c r="Q633" s="15">
        <f>Table2[[#This Row],[Discounts]]/Table2[[#This Row],[Gross Sales]]</f>
        <v>0.14000000000000001</v>
      </c>
    </row>
    <row r="634" spans="1:17" x14ac:dyDescent="0.35">
      <c r="A634" t="s">
        <v>7</v>
      </c>
      <c r="B634" t="s">
        <v>92</v>
      </c>
      <c r="C634" t="s">
        <v>38</v>
      </c>
      <c r="D634" t="s">
        <v>48</v>
      </c>
      <c r="E634" s="9">
        <v>1010</v>
      </c>
      <c r="F634">
        <v>3</v>
      </c>
      <c r="G634">
        <v>300</v>
      </c>
      <c r="H634" s="9">
        <v>303000</v>
      </c>
      <c r="I634" s="9">
        <v>42420</v>
      </c>
      <c r="J634" s="9">
        <v>260580</v>
      </c>
      <c r="K634" s="9">
        <v>252500</v>
      </c>
      <c r="L634" s="9">
        <v>8080</v>
      </c>
      <c r="M634" s="10">
        <v>41913</v>
      </c>
      <c r="N634">
        <v>10</v>
      </c>
      <c r="O634" t="s">
        <v>30</v>
      </c>
      <c r="P634" t="s">
        <v>15</v>
      </c>
      <c r="Q634" s="15">
        <f>Table2[[#This Row],[Discounts]]/Table2[[#This Row],[Gross Sales]]</f>
        <v>0.14000000000000001</v>
      </c>
    </row>
    <row r="635" spans="1:17" x14ac:dyDescent="0.35">
      <c r="A635" t="s">
        <v>8</v>
      </c>
      <c r="B635" t="s">
        <v>19</v>
      </c>
      <c r="C635" t="s">
        <v>38</v>
      </c>
      <c r="D635" t="s">
        <v>48</v>
      </c>
      <c r="E635" s="9">
        <v>1513</v>
      </c>
      <c r="F635">
        <v>3</v>
      </c>
      <c r="G635">
        <v>15</v>
      </c>
      <c r="H635" s="9">
        <v>22695</v>
      </c>
      <c r="I635" s="9">
        <v>3177.3</v>
      </c>
      <c r="J635" s="9">
        <v>19517.7</v>
      </c>
      <c r="K635" s="9">
        <v>15130</v>
      </c>
      <c r="L635" s="9">
        <v>4387.7000000000007</v>
      </c>
      <c r="M635" s="10">
        <v>41944</v>
      </c>
      <c r="N635">
        <v>11</v>
      </c>
      <c r="O635" t="s">
        <v>31</v>
      </c>
      <c r="P635" t="s">
        <v>15</v>
      </c>
      <c r="Q635" s="15">
        <f>Table2[[#This Row],[Discounts]]/Table2[[#This Row],[Gross Sales]]</f>
        <v>0.14000000000000001</v>
      </c>
    </row>
    <row r="636" spans="1:17" x14ac:dyDescent="0.35">
      <c r="A636" t="s">
        <v>8</v>
      </c>
      <c r="B636" t="s">
        <v>16</v>
      </c>
      <c r="C636" t="s">
        <v>38</v>
      </c>
      <c r="D636" t="s">
        <v>48</v>
      </c>
      <c r="E636" s="9">
        <v>2300</v>
      </c>
      <c r="F636">
        <v>3</v>
      </c>
      <c r="G636">
        <v>15</v>
      </c>
      <c r="H636" s="9">
        <v>34500</v>
      </c>
      <c r="I636" s="9">
        <v>4830</v>
      </c>
      <c r="J636" s="9">
        <v>29670</v>
      </c>
      <c r="K636" s="9">
        <v>23000</v>
      </c>
      <c r="L636" s="9">
        <v>6670</v>
      </c>
      <c r="M636" s="10">
        <v>41974</v>
      </c>
      <c r="N636">
        <v>12</v>
      </c>
      <c r="O636" t="s">
        <v>32</v>
      </c>
      <c r="P636" t="s">
        <v>15</v>
      </c>
      <c r="Q636" s="15">
        <f>Table2[[#This Row],[Discounts]]/Table2[[#This Row],[Gross Sales]]</f>
        <v>0.14000000000000001</v>
      </c>
    </row>
    <row r="637" spans="1:17" x14ac:dyDescent="0.35">
      <c r="A637" t="s">
        <v>9</v>
      </c>
      <c r="B637" t="s">
        <v>20</v>
      </c>
      <c r="C637" t="s">
        <v>38</v>
      </c>
      <c r="D637" t="s">
        <v>48</v>
      </c>
      <c r="E637" s="9">
        <v>2821</v>
      </c>
      <c r="F637">
        <v>3</v>
      </c>
      <c r="G637">
        <v>125</v>
      </c>
      <c r="H637" s="9">
        <v>352625</v>
      </c>
      <c r="I637" s="9">
        <v>49367.5</v>
      </c>
      <c r="J637" s="9">
        <v>303257.5</v>
      </c>
      <c r="K637" s="9">
        <v>338520</v>
      </c>
      <c r="L637" s="9">
        <v>-35262.5</v>
      </c>
      <c r="M637" s="10">
        <v>41609</v>
      </c>
      <c r="N637">
        <v>12</v>
      </c>
      <c r="O637" t="s">
        <v>32</v>
      </c>
      <c r="P637" t="s">
        <v>14</v>
      </c>
      <c r="Q637" s="15">
        <f>Table2[[#This Row],[Discounts]]/Table2[[#This Row],[Gross Sales]]</f>
        <v>0.14000000000000001</v>
      </c>
    </row>
    <row r="638" spans="1:17" x14ac:dyDescent="0.35">
      <c r="A638" t="s">
        <v>10</v>
      </c>
      <c r="B638" t="s">
        <v>16</v>
      </c>
      <c r="C638" t="s">
        <v>39</v>
      </c>
      <c r="D638" t="s">
        <v>48</v>
      </c>
      <c r="E638" s="9">
        <v>2227.5</v>
      </c>
      <c r="F638">
        <v>5</v>
      </c>
      <c r="G638">
        <v>350</v>
      </c>
      <c r="H638" s="9">
        <v>779625</v>
      </c>
      <c r="I638" s="9">
        <v>109147.5</v>
      </c>
      <c r="J638" s="9">
        <v>670477.5</v>
      </c>
      <c r="K638" s="9">
        <v>579150</v>
      </c>
      <c r="L638" s="9">
        <v>91327.5</v>
      </c>
      <c r="M638" s="10">
        <v>41640</v>
      </c>
      <c r="N638">
        <v>1</v>
      </c>
      <c r="O638" t="s">
        <v>21</v>
      </c>
      <c r="P638" t="s">
        <v>15</v>
      </c>
      <c r="Q638" s="15">
        <f>Table2[[#This Row],[Discounts]]/Table2[[#This Row],[Gross Sales]]</f>
        <v>0.14000000000000001</v>
      </c>
    </row>
    <row r="639" spans="1:17" x14ac:dyDescent="0.35">
      <c r="A639" t="s">
        <v>10</v>
      </c>
      <c r="B639" t="s">
        <v>19</v>
      </c>
      <c r="C639" t="s">
        <v>39</v>
      </c>
      <c r="D639" t="s">
        <v>48</v>
      </c>
      <c r="E639" s="9">
        <v>1199</v>
      </c>
      <c r="F639">
        <v>5</v>
      </c>
      <c r="G639">
        <v>350</v>
      </c>
      <c r="H639" s="9">
        <v>419650</v>
      </c>
      <c r="I639" s="9">
        <v>58751</v>
      </c>
      <c r="J639" s="9">
        <v>360899</v>
      </c>
      <c r="K639" s="9">
        <v>311740</v>
      </c>
      <c r="L639" s="9">
        <v>49159</v>
      </c>
      <c r="M639" s="10">
        <v>41730</v>
      </c>
      <c r="N639">
        <v>4</v>
      </c>
      <c r="O639" t="s">
        <v>24</v>
      </c>
      <c r="P639" t="s">
        <v>15</v>
      </c>
      <c r="Q639" s="15">
        <f>Table2[[#This Row],[Discounts]]/Table2[[#This Row],[Gross Sales]]</f>
        <v>0.14000000000000001</v>
      </c>
    </row>
    <row r="640" spans="1:17" x14ac:dyDescent="0.35">
      <c r="A640" t="s">
        <v>10</v>
      </c>
      <c r="B640" t="s">
        <v>16</v>
      </c>
      <c r="C640" t="s">
        <v>39</v>
      </c>
      <c r="D640" t="s">
        <v>48</v>
      </c>
      <c r="E640" s="9">
        <v>200</v>
      </c>
      <c r="F640">
        <v>5</v>
      </c>
      <c r="G640">
        <v>350</v>
      </c>
      <c r="H640" s="9">
        <v>70000</v>
      </c>
      <c r="I640" s="9">
        <v>9800</v>
      </c>
      <c r="J640" s="9">
        <v>60200</v>
      </c>
      <c r="K640" s="9">
        <v>52000</v>
      </c>
      <c r="L640" s="9">
        <v>8200</v>
      </c>
      <c r="M640" s="10">
        <v>41760</v>
      </c>
      <c r="N640">
        <v>5</v>
      </c>
      <c r="O640" t="s">
        <v>25</v>
      </c>
      <c r="P640" t="s">
        <v>15</v>
      </c>
      <c r="Q640" s="15">
        <f>Table2[[#This Row],[Discounts]]/Table2[[#This Row],[Gross Sales]]</f>
        <v>0.14000000000000001</v>
      </c>
    </row>
    <row r="641" spans="1:17" x14ac:dyDescent="0.35">
      <c r="A641" t="s">
        <v>10</v>
      </c>
      <c r="B641" t="s">
        <v>16</v>
      </c>
      <c r="C641" t="s">
        <v>39</v>
      </c>
      <c r="D641" t="s">
        <v>48</v>
      </c>
      <c r="E641" s="9">
        <v>388</v>
      </c>
      <c r="F641">
        <v>5</v>
      </c>
      <c r="G641">
        <v>7</v>
      </c>
      <c r="H641" s="9">
        <v>2716</v>
      </c>
      <c r="I641" s="9">
        <v>380.24</v>
      </c>
      <c r="J641" s="9">
        <v>2335.7600000000002</v>
      </c>
      <c r="K641" s="9">
        <v>1940</v>
      </c>
      <c r="L641" s="9">
        <v>395.76000000000022</v>
      </c>
      <c r="M641" s="10">
        <v>41883</v>
      </c>
      <c r="N641">
        <v>9</v>
      </c>
      <c r="O641" t="s">
        <v>29</v>
      </c>
      <c r="P641" t="s">
        <v>15</v>
      </c>
      <c r="Q641" s="15">
        <f>Table2[[#This Row],[Discounts]]/Table2[[#This Row],[Gross Sales]]</f>
        <v>0.14000000000000001</v>
      </c>
    </row>
    <row r="642" spans="1:17" x14ac:dyDescent="0.35">
      <c r="A642" t="s">
        <v>10</v>
      </c>
      <c r="B642" t="s">
        <v>20</v>
      </c>
      <c r="C642" t="s">
        <v>39</v>
      </c>
      <c r="D642" t="s">
        <v>48</v>
      </c>
      <c r="E642" s="9">
        <v>1727</v>
      </c>
      <c r="F642">
        <v>5</v>
      </c>
      <c r="G642">
        <v>7</v>
      </c>
      <c r="H642" s="9">
        <v>12089</v>
      </c>
      <c r="I642" s="9">
        <v>1692.46</v>
      </c>
      <c r="J642" s="9">
        <v>10396.540000000001</v>
      </c>
      <c r="K642" s="9">
        <v>8635</v>
      </c>
      <c r="L642" s="9">
        <v>1761.5400000000009</v>
      </c>
      <c r="M642" s="10">
        <v>41548</v>
      </c>
      <c r="N642">
        <v>10</v>
      </c>
      <c r="O642" t="s">
        <v>30</v>
      </c>
      <c r="P642" t="s">
        <v>14</v>
      </c>
      <c r="Q642" s="15">
        <f>Table2[[#This Row],[Discounts]]/Table2[[#This Row],[Gross Sales]]</f>
        <v>0.14000000000000001</v>
      </c>
    </row>
    <row r="643" spans="1:17" x14ac:dyDescent="0.35">
      <c r="A643" t="s">
        <v>8</v>
      </c>
      <c r="B643" t="s">
        <v>16</v>
      </c>
      <c r="C643" t="s">
        <v>39</v>
      </c>
      <c r="D643" t="s">
        <v>48</v>
      </c>
      <c r="E643" s="9">
        <v>2300</v>
      </c>
      <c r="F643">
        <v>5</v>
      </c>
      <c r="G643">
        <v>15</v>
      </c>
      <c r="H643" s="9">
        <v>34500</v>
      </c>
      <c r="I643" s="9">
        <v>4830</v>
      </c>
      <c r="J643" s="9">
        <v>29670</v>
      </c>
      <c r="K643" s="9">
        <v>23000</v>
      </c>
      <c r="L643" s="9">
        <v>6670</v>
      </c>
      <c r="M643" s="10">
        <v>41974</v>
      </c>
      <c r="N643">
        <v>12</v>
      </c>
      <c r="O643" t="s">
        <v>32</v>
      </c>
      <c r="P643" t="s">
        <v>15</v>
      </c>
      <c r="Q643" s="15">
        <f>Table2[[#This Row],[Discounts]]/Table2[[#This Row],[Gross Sales]]</f>
        <v>0.14000000000000001</v>
      </c>
    </row>
    <row r="644" spans="1:17" x14ac:dyDescent="0.35">
      <c r="A644" t="s">
        <v>10</v>
      </c>
      <c r="B644" t="s">
        <v>20</v>
      </c>
      <c r="C644" t="s">
        <v>40</v>
      </c>
      <c r="D644" t="s">
        <v>48</v>
      </c>
      <c r="E644" s="9">
        <v>260</v>
      </c>
      <c r="F644">
        <v>10</v>
      </c>
      <c r="G644">
        <v>20</v>
      </c>
      <c r="H644" s="9">
        <v>5200</v>
      </c>
      <c r="I644" s="9">
        <v>728</v>
      </c>
      <c r="J644" s="9">
        <v>4472</v>
      </c>
      <c r="K644" s="9">
        <v>2600</v>
      </c>
      <c r="L644" s="9">
        <v>1872</v>
      </c>
      <c r="M644" s="10">
        <v>41671</v>
      </c>
      <c r="N644">
        <v>2</v>
      </c>
      <c r="O644" t="s">
        <v>22</v>
      </c>
      <c r="P644" t="s">
        <v>15</v>
      </c>
      <c r="Q644" s="15">
        <f>Table2[[#This Row],[Discounts]]/Table2[[#This Row],[Gross Sales]]</f>
        <v>0.14000000000000001</v>
      </c>
    </row>
    <row r="645" spans="1:17" x14ac:dyDescent="0.35">
      <c r="A645" t="s">
        <v>8</v>
      </c>
      <c r="B645" t="s">
        <v>16</v>
      </c>
      <c r="C645" t="s">
        <v>40</v>
      </c>
      <c r="D645" t="s">
        <v>48</v>
      </c>
      <c r="E645" s="9">
        <v>2470</v>
      </c>
      <c r="F645">
        <v>10</v>
      </c>
      <c r="G645">
        <v>15</v>
      </c>
      <c r="H645" s="9">
        <v>37050</v>
      </c>
      <c r="I645" s="9">
        <v>5187</v>
      </c>
      <c r="J645" s="9">
        <v>31863</v>
      </c>
      <c r="K645" s="9">
        <v>24700</v>
      </c>
      <c r="L645" s="9">
        <v>7163</v>
      </c>
      <c r="M645" s="10">
        <v>41518</v>
      </c>
      <c r="N645">
        <v>9</v>
      </c>
      <c r="O645" t="s">
        <v>29</v>
      </c>
      <c r="P645" t="s">
        <v>14</v>
      </c>
      <c r="Q645" s="15">
        <f>Table2[[#This Row],[Discounts]]/Table2[[#This Row],[Gross Sales]]</f>
        <v>0.14000000000000001</v>
      </c>
    </row>
    <row r="646" spans="1:17" x14ac:dyDescent="0.35">
      <c r="A646" t="s">
        <v>8</v>
      </c>
      <c r="B646" t="s">
        <v>16</v>
      </c>
      <c r="C646" t="s">
        <v>40</v>
      </c>
      <c r="D646" t="s">
        <v>48</v>
      </c>
      <c r="E646" s="9">
        <v>1743</v>
      </c>
      <c r="F646">
        <v>10</v>
      </c>
      <c r="G646">
        <v>15</v>
      </c>
      <c r="H646" s="9">
        <v>26145</v>
      </c>
      <c r="I646" s="9">
        <v>3660.3</v>
      </c>
      <c r="J646" s="9">
        <v>22484.7</v>
      </c>
      <c r="K646" s="9">
        <v>17430</v>
      </c>
      <c r="L646" s="9">
        <v>5054.7000000000007</v>
      </c>
      <c r="M646" s="10">
        <v>41548</v>
      </c>
      <c r="N646">
        <v>10</v>
      </c>
      <c r="O646" t="s">
        <v>30</v>
      </c>
      <c r="P646" t="s">
        <v>14</v>
      </c>
      <c r="Q646" s="15">
        <f>Table2[[#This Row],[Discounts]]/Table2[[#This Row],[Gross Sales]]</f>
        <v>0.14000000000000001</v>
      </c>
    </row>
    <row r="647" spans="1:17" x14ac:dyDescent="0.35">
      <c r="A647" t="s">
        <v>11</v>
      </c>
      <c r="B647" t="s">
        <v>92</v>
      </c>
      <c r="C647" t="s">
        <v>40</v>
      </c>
      <c r="D647" t="s">
        <v>48</v>
      </c>
      <c r="E647" s="9">
        <v>2914</v>
      </c>
      <c r="F647">
        <v>10</v>
      </c>
      <c r="G647">
        <v>12</v>
      </c>
      <c r="H647" s="9">
        <v>34968</v>
      </c>
      <c r="I647" s="9">
        <v>4895.5200000000004</v>
      </c>
      <c r="J647" s="9">
        <v>30072.48</v>
      </c>
      <c r="K647" s="9">
        <v>8742</v>
      </c>
      <c r="L647" s="9">
        <v>21330.48</v>
      </c>
      <c r="M647" s="10">
        <v>41913</v>
      </c>
      <c r="N647">
        <v>10</v>
      </c>
      <c r="O647" t="s">
        <v>30</v>
      </c>
      <c r="P647" t="s">
        <v>15</v>
      </c>
      <c r="Q647" s="15">
        <f>Table2[[#This Row],[Discounts]]/Table2[[#This Row],[Gross Sales]]</f>
        <v>0.14000000000000001</v>
      </c>
    </row>
    <row r="648" spans="1:17" x14ac:dyDescent="0.35">
      <c r="A648" t="s">
        <v>10</v>
      </c>
      <c r="B648" t="s">
        <v>18</v>
      </c>
      <c r="C648" t="s">
        <v>40</v>
      </c>
      <c r="D648" t="s">
        <v>48</v>
      </c>
      <c r="E648" s="9">
        <v>1731</v>
      </c>
      <c r="F648">
        <v>10</v>
      </c>
      <c r="G648">
        <v>7</v>
      </c>
      <c r="H648" s="9">
        <v>12117</v>
      </c>
      <c r="I648" s="9">
        <v>1696.38</v>
      </c>
      <c r="J648" s="9">
        <v>10420.619999999999</v>
      </c>
      <c r="K648" s="9">
        <v>8655</v>
      </c>
      <c r="L648" s="9">
        <v>1765.619999999999</v>
      </c>
      <c r="M648" s="10">
        <v>41913</v>
      </c>
      <c r="N648">
        <v>10</v>
      </c>
      <c r="O648" t="s">
        <v>30</v>
      </c>
      <c r="P648" t="s">
        <v>15</v>
      </c>
      <c r="Q648" s="15">
        <f>Table2[[#This Row],[Discounts]]/Table2[[#This Row],[Gross Sales]]</f>
        <v>0.14000000000000001</v>
      </c>
    </row>
    <row r="649" spans="1:17" x14ac:dyDescent="0.35">
      <c r="A649" t="s">
        <v>10</v>
      </c>
      <c r="B649" t="s">
        <v>16</v>
      </c>
      <c r="C649" t="s">
        <v>40</v>
      </c>
      <c r="D649" t="s">
        <v>48</v>
      </c>
      <c r="E649" s="9">
        <v>700</v>
      </c>
      <c r="F649">
        <v>10</v>
      </c>
      <c r="G649">
        <v>350</v>
      </c>
      <c r="H649" s="9">
        <v>245000</v>
      </c>
      <c r="I649" s="9">
        <v>34300</v>
      </c>
      <c r="J649" s="9">
        <v>210700</v>
      </c>
      <c r="K649" s="9">
        <v>182000</v>
      </c>
      <c r="L649" s="9">
        <v>28700</v>
      </c>
      <c r="M649" s="10">
        <v>41944</v>
      </c>
      <c r="N649">
        <v>11</v>
      </c>
      <c r="O649" t="s">
        <v>31</v>
      </c>
      <c r="P649" t="s">
        <v>15</v>
      </c>
      <c r="Q649" s="15">
        <f>Table2[[#This Row],[Discounts]]/Table2[[#This Row],[Gross Sales]]</f>
        <v>0.14000000000000001</v>
      </c>
    </row>
    <row r="650" spans="1:17" x14ac:dyDescent="0.35">
      <c r="A650" t="s">
        <v>11</v>
      </c>
      <c r="B650" t="s">
        <v>16</v>
      </c>
      <c r="C650" t="s">
        <v>40</v>
      </c>
      <c r="D650" t="s">
        <v>48</v>
      </c>
      <c r="E650" s="9">
        <v>2222</v>
      </c>
      <c r="F650">
        <v>10</v>
      </c>
      <c r="G650">
        <v>12</v>
      </c>
      <c r="H650" s="9">
        <v>26664</v>
      </c>
      <c r="I650" s="9">
        <v>3732.96</v>
      </c>
      <c r="J650" s="9">
        <v>22931.040000000001</v>
      </c>
      <c r="K650" s="9">
        <v>6666</v>
      </c>
      <c r="L650" s="9">
        <v>16265.04</v>
      </c>
      <c r="M650" s="10">
        <v>41579</v>
      </c>
      <c r="N650">
        <v>11</v>
      </c>
      <c r="O650" t="s">
        <v>31</v>
      </c>
      <c r="P650" t="s">
        <v>14</v>
      </c>
      <c r="Q650" s="15">
        <f>Table2[[#This Row],[Discounts]]/Table2[[#This Row],[Gross Sales]]</f>
        <v>0.14000000000000001</v>
      </c>
    </row>
    <row r="651" spans="1:17" x14ac:dyDescent="0.35">
      <c r="A651" t="s">
        <v>10</v>
      </c>
      <c r="B651" t="s">
        <v>92</v>
      </c>
      <c r="C651" t="s">
        <v>40</v>
      </c>
      <c r="D651" t="s">
        <v>48</v>
      </c>
      <c r="E651" s="9">
        <v>1177</v>
      </c>
      <c r="F651">
        <v>10</v>
      </c>
      <c r="G651">
        <v>350</v>
      </c>
      <c r="H651" s="9">
        <v>411950</v>
      </c>
      <c r="I651" s="9">
        <v>57673</v>
      </c>
      <c r="J651" s="9">
        <v>354277</v>
      </c>
      <c r="K651" s="9">
        <v>306020</v>
      </c>
      <c r="L651" s="9">
        <v>48257</v>
      </c>
      <c r="M651" s="10">
        <v>41944</v>
      </c>
      <c r="N651">
        <v>11</v>
      </c>
      <c r="O651" t="s">
        <v>31</v>
      </c>
      <c r="P651" t="s">
        <v>15</v>
      </c>
      <c r="Q651" s="15">
        <f>Table2[[#This Row],[Discounts]]/Table2[[#This Row],[Gross Sales]]</f>
        <v>0.14000000000000001</v>
      </c>
    </row>
    <row r="652" spans="1:17" x14ac:dyDescent="0.35">
      <c r="A652" t="s">
        <v>10</v>
      </c>
      <c r="B652" t="s">
        <v>18</v>
      </c>
      <c r="C652" t="s">
        <v>40</v>
      </c>
      <c r="D652" t="s">
        <v>48</v>
      </c>
      <c r="E652" s="9">
        <v>1922</v>
      </c>
      <c r="F652">
        <v>10</v>
      </c>
      <c r="G652">
        <v>350</v>
      </c>
      <c r="H652" s="9">
        <v>672700</v>
      </c>
      <c r="I652" s="9">
        <v>94178</v>
      </c>
      <c r="J652" s="9">
        <v>578522</v>
      </c>
      <c r="K652" s="9">
        <v>499720</v>
      </c>
      <c r="L652" s="9">
        <v>78802</v>
      </c>
      <c r="M652" s="10">
        <v>41579</v>
      </c>
      <c r="N652">
        <v>11</v>
      </c>
      <c r="O652" t="s">
        <v>31</v>
      </c>
      <c r="P652" t="s">
        <v>14</v>
      </c>
      <c r="Q652" s="15">
        <f>Table2[[#This Row],[Discounts]]/Table2[[#This Row],[Gross Sales]]</f>
        <v>0.14000000000000001</v>
      </c>
    </row>
    <row r="653" spans="1:17" x14ac:dyDescent="0.35">
      <c r="A653" t="s">
        <v>9</v>
      </c>
      <c r="B653" t="s">
        <v>20</v>
      </c>
      <c r="C653" t="s">
        <v>41</v>
      </c>
      <c r="D653" t="s">
        <v>48</v>
      </c>
      <c r="E653" s="9">
        <v>1575</v>
      </c>
      <c r="F653">
        <v>120</v>
      </c>
      <c r="G653">
        <v>125</v>
      </c>
      <c r="H653" s="9">
        <v>196875</v>
      </c>
      <c r="I653" s="9">
        <v>27562.5</v>
      </c>
      <c r="J653" s="9">
        <v>169312.5</v>
      </c>
      <c r="K653" s="9">
        <v>189000</v>
      </c>
      <c r="L653" s="9">
        <v>-19687.5</v>
      </c>
      <c r="M653" s="10">
        <v>41671</v>
      </c>
      <c r="N653">
        <v>2</v>
      </c>
      <c r="O653" t="s">
        <v>22</v>
      </c>
      <c r="P653" t="s">
        <v>15</v>
      </c>
      <c r="Q653" s="15">
        <f>Table2[[#This Row],[Discounts]]/Table2[[#This Row],[Gross Sales]]</f>
        <v>0.14000000000000001</v>
      </c>
    </row>
    <row r="654" spans="1:17" x14ac:dyDescent="0.35">
      <c r="A654" t="s">
        <v>10</v>
      </c>
      <c r="B654" t="s">
        <v>92</v>
      </c>
      <c r="C654" t="s">
        <v>41</v>
      </c>
      <c r="D654" t="s">
        <v>48</v>
      </c>
      <c r="E654" s="9">
        <v>606</v>
      </c>
      <c r="F654">
        <v>120</v>
      </c>
      <c r="G654">
        <v>20</v>
      </c>
      <c r="H654" s="9">
        <v>12120</v>
      </c>
      <c r="I654" s="9">
        <v>1696.8000000000002</v>
      </c>
      <c r="J654" s="9">
        <v>10423.200000000001</v>
      </c>
      <c r="K654" s="9">
        <v>6060</v>
      </c>
      <c r="L654" s="9">
        <v>4363.2000000000007</v>
      </c>
      <c r="M654" s="10">
        <v>41730</v>
      </c>
      <c r="N654">
        <v>4</v>
      </c>
      <c r="O654" t="s">
        <v>24</v>
      </c>
      <c r="P654" t="s">
        <v>15</v>
      </c>
      <c r="Q654" s="15">
        <f>Table2[[#This Row],[Discounts]]/Table2[[#This Row],[Gross Sales]]</f>
        <v>0.14000000000000001</v>
      </c>
    </row>
    <row r="655" spans="1:17" x14ac:dyDescent="0.35">
      <c r="A655" t="s">
        <v>7</v>
      </c>
      <c r="B655" t="s">
        <v>92</v>
      </c>
      <c r="C655" t="s">
        <v>41</v>
      </c>
      <c r="D655" t="s">
        <v>48</v>
      </c>
      <c r="E655" s="9">
        <v>2460</v>
      </c>
      <c r="F655">
        <v>120</v>
      </c>
      <c r="G655">
        <v>300</v>
      </c>
      <c r="H655" s="9">
        <v>738000</v>
      </c>
      <c r="I655" s="9">
        <v>103320</v>
      </c>
      <c r="J655" s="9">
        <v>634680</v>
      </c>
      <c r="K655" s="9">
        <v>615000</v>
      </c>
      <c r="L655" s="9">
        <v>19680</v>
      </c>
      <c r="M655" s="10">
        <v>41821</v>
      </c>
      <c r="N655">
        <v>7</v>
      </c>
      <c r="O655" t="s">
        <v>27</v>
      </c>
      <c r="P655" t="s">
        <v>15</v>
      </c>
      <c r="Q655" s="15">
        <f>Table2[[#This Row],[Discounts]]/Table2[[#This Row],[Gross Sales]]</f>
        <v>0.14000000000000001</v>
      </c>
    </row>
    <row r="656" spans="1:17" x14ac:dyDescent="0.35">
      <c r="A656" t="s">
        <v>7</v>
      </c>
      <c r="B656" t="s">
        <v>16</v>
      </c>
      <c r="C656" t="s">
        <v>41</v>
      </c>
      <c r="D656" t="s">
        <v>48</v>
      </c>
      <c r="E656" s="9">
        <v>269</v>
      </c>
      <c r="F656">
        <v>120</v>
      </c>
      <c r="G656">
        <v>300</v>
      </c>
      <c r="H656" s="9">
        <v>80700</v>
      </c>
      <c r="I656" s="9">
        <v>11298</v>
      </c>
      <c r="J656" s="9">
        <v>69402</v>
      </c>
      <c r="K656" s="9">
        <v>67250</v>
      </c>
      <c r="L656" s="9">
        <v>2152</v>
      </c>
      <c r="M656" s="10">
        <v>41548</v>
      </c>
      <c r="N656">
        <v>10</v>
      </c>
      <c r="O656" t="s">
        <v>30</v>
      </c>
      <c r="P656" t="s">
        <v>14</v>
      </c>
      <c r="Q656" s="15">
        <f>Table2[[#This Row],[Discounts]]/Table2[[#This Row],[Gross Sales]]</f>
        <v>0.14000000000000001</v>
      </c>
    </row>
    <row r="657" spans="1:17" x14ac:dyDescent="0.35">
      <c r="A657" t="s">
        <v>7</v>
      </c>
      <c r="B657" t="s">
        <v>19</v>
      </c>
      <c r="C657" t="s">
        <v>41</v>
      </c>
      <c r="D657" t="s">
        <v>48</v>
      </c>
      <c r="E657" s="9">
        <v>2536</v>
      </c>
      <c r="F657">
        <v>120</v>
      </c>
      <c r="G657">
        <v>300</v>
      </c>
      <c r="H657" s="9">
        <v>760800</v>
      </c>
      <c r="I657" s="9">
        <v>106512</v>
      </c>
      <c r="J657" s="9">
        <v>654288</v>
      </c>
      <c r="K657" s="9">
        <v>634000</v>
      </c>
      <c r="L657" s="9">
        <v>20288</v>
      </c>
      <c r="M657" s="10">
        <v>41579</v>
      </c>
      <c r="N657">
        <v>11</v>
      </c>
      <c r="O657" t="s">
        <v>31</v>
      </c>
      <c r="P657" t="s">
        <v>14</v>
      </c>
      <c r="Q657" s="15">
        <f>Table2[[#This Row],[Discounts]]/Table2[[#This Row],[Gross Sales]]</f>
        <v>0.14000000000000001</v>
      </c>
    </row>
    <row r="658" spans="1:17" x14ac:dyDescent="0.35">
      <c r="A658" t="s">
        <v>10</v>
      </c>
      <c r="B658" t="s">
        <v>20</v>
      </c>
      <c r="C658" t="s">
        <v>42</v>
      </c>
      <c r="D658" t="s">
        <v>48</v>
      </c>
      <c r="E658" s="9">
        <v>2903</v>
      </c>
      <c r="F658">
        <v>250</v>
      </c>
      <c r="G658">
        <v>7</v>
      </c>
      <c r="H658" s="9">
        <v>20321</v>
      </c>
      <c r="I658" s="9">
        <v>2844.94</v>
      </c>
      <c r="J658" s="9">
        <v>17476.060000000001</v>
      </c>
      <c r="K658" s="9">
        <v>14515</v>
      </c>
      <c r="L658" s="9">
        <v>2961.0600000000013</v>
      </c>
      <c r="M658" s="10">
        <v>41699</v>
      </c>
      <c r="N658">
        <v>3</v>
      </c>
      <c r="O658" t="s">
        <v>23</v>
      </c>
      <c r="P658" t="s">
        <v>15</v>
      </c>
      <c r="Q658" s="15">
        <f>Table2[[#This Row],[Discounts]]/Table2[[#This Row],[Gross Sales]]</f>
        <v>0.14000000000000001</v>
      </c>
    </row>
    <row r="659" spans="1:17" x14ac:dyDescent="0.35">
      <c r="A659" t="s">
        <v>7</v>
      </c>
      <c r="B659" t="s">
        <v>92</v>
      </c>
      <c r="C659" t="s">
        <v>42</v>
      </c>
      <c r="D659" t="s">
        <v>48</v>
      </c>
      <c r="E659" s="9">
        <v>2541</v>
      </c>
      <c r="F659">
        <v>250</v>
      </c>
      <c r="G659">
        <v>300</v>
      </c>
      <c r="H659" s="9">
        <v>762300</v>
      </c>
      <c r="I659" s="9">
        <v>106722</v>
      </c>
      <c r="J659" s="9">
        <v>655578</v>
      </c>
      <c r="K659" s="9">
        <v>635250</v>
      </c>
      <c r="L659" s="9">
        <v>20328</v>
      </c>
      <c r="M659" s="10">
        <v>41852</v>
      </c>
      <c r="N659">
        <v>8</v>
      </c>
      <c r="O659" t="s">
        <v>28</v>
      </c>
      <c r="P659" t="s">
        <v>15</v>
      </c>
      <c r="Q659" s="15">
        <f>Table2[[#This Row],[Discounts]]/Table2[[#This Row],[Gross Sales]]</f>
        <v>0.14000000000000001</v>
      </c>
    </row>
    <row r="660" spans="1:17" x14ac:dyDescent="0.35">
      <c r="A660" t="s">
        <v>7</v>
      </c>
      <c r="B660" t="s">
        <v>16</v>
      </c>
      <c r="C660" t="s">
        <v>42</v>
      </c>
      <c r="D660" t="s">
        <v>48</v>
      </c>
      <c r="E660" s="9">
        <v>269</v>
      </c>
      <c r="F660">
        <v>250</v>
      </c>
      <c r="G660">
        <v>300</v>
      </c>
      <c r="H660" s="9">
        <v>80700</v>
      </c>
      <c r="I660" s="9">
        <v>11298</v>
      </c>
      <c r="J660" s="9">
        <v>69402</v>
      </c>
      <c r="K660" s="9">
        <v>67250</v>
      </c>
      <c r="L660" s="9">
        <v>2152</v>
      </c>
      <c r="M660" s="10">
        <v>41548</v>
      </c>
      <c r="N660">
        <v>10</v>
      </c>
      <c r="O660" t="s">
        <v>30</v>
      </c>
      <c r="P660" t="s">
        <v>14</v>
      </c>
      <c r="Q660" s="15">
        <f>Table2[[#This Row],[Discounts]]/Table2[[#This Row],[Gross Sales]]</f>
        <v>0.14000000000000001</v>
      </c>
    </row>
    <row r="661" spans="1:17" x14ac:dyDescent="0.35">
      <c r="A661" t="s">
        <v>7</v>
      </c>
      <c r="B661" t="s">
        <v>16</v>
      </c>
      <c r="C661" t="s">
        <v>42</v>
      </c>
      <c r="D661" t="s">
        <v>48</v>
      </c>
      <c r="E661" s="9">
        <v>1496</v>
      </c>
      <c r="F661">
        <v>250</v>
      </c>
      <c r="G661">
        <v>300</v>
      </c>
      <c r="H661" s="9">
        <v>448800</v>
      </c>
      <c r="I661" s="9">
        <v>62832</v>
      </c>
      <c r="J661" s="9">
        <v>385968</v>
      </c>
      <c r="K661" s="9">
        <v>374000</v>
      </c>
      <c r="L661" s="9">
        <v>11968</v>
      </c>
      <c r="M661" s="10">
        <v>41913</v>
      </c>
      <c r="N661">
        <v>10</v>
      </c>
      <c r="O661" t="s">
        <v>30</v>
      </c>
      <c r="P661" t="s">
        <v>15</v>
      </c>
      <c r="Q661" s="15">
        <f>Table2[[#This Row],[Discounts]]/Table2[[#This Row],[Gross Sales]]</f>
        <v>0.14000000000000001</v>
      </c>
    </row>
    <row r="662" spans="1:17" x14ac:dyDescent="0.35">
      <c r="A662" t="s">
        <v>7</v>
      </c>
      <c r="B662" t="s">
        <v>92</v>
      </c>
      <c r="C662" t="s">
        <v>42</v>
      </c>
      <c r="D662" t="s">
        <v>48</v>
      </c>
      <c r="E662" s="9">
        <v>1010</v>
      </c>
      <c r="F662">
        <v>250</v>
      </c>
      <c r="G662">
        <v>300</v>
      </c>
      <c r="H662" s="9">
        <v>303000</v>
      </c>
      <c r="I662" s="9">
        <v>42420</v>
      </c>
      <c r="J662" s="9">
        <v>260580</v>
      </c>
      <c r="K662" s="9">
        <v>252500</v>
      </c>
      <c r="L662" s="9">
        <v>8080</v>
      </c>
      <c r="M662" s="10">
        <v>41913</v>
      </c>
      <c r="N662">
        <v>10</v>
      </c>
      <c r="O662" t="s">
        <v>30</v>
      </c>
      <c r="P662" t="s">
        <v>15</v>
      </c>
      <c r="Q662" s="15">
        <f>Table2[[#This Row],[Discounts]]/Table2[[#This Row],[Gross Sales]]</f>
        <v>0.14000000000000001</v>
      </c>
    </row>
    <row r="663" spans="1:17" x14ac:dyDescent="0.35">
      <c r="A663" t="s">
        <v>10</v>
      </c>
      <c r="B663" t="s">
        <v>18</v>
      </c>
      <c r="C663" t="s">
        <v>42</v>
      </c>
      <c r="D663" t="s">
        <v>48</v>
      </c>
      <c r="E663" s="9">
        <v>1281</v>
      </c>
      <c r="F663">
        <v>250</v>
      </c>
      <c r="G663">
        <v>350</v>
      </c>
      <c r="H663" s="9">
        <v>448350</v>
      </c>
      <c r="I663" s="9">
        <v>62769</v>
      </c>
      <c r="J663" s="9">
        <v>385581</v>
      </c>
      <c r="K663" s="9">
        <v>333060</v>
      </c>
      <c r="L663" s="9">
        <v>52521</v>
      </c>
      <c r="M663" s="10">
        <v>41609</v>
      </c>
      <c r="N663">
        <v>12</v>
      </c>
      <c r="O663" t="s">
        <v>32</v>
      </c>
      <c r="P663" t="s">
        <v>14</v>
      </c>
      <c r="Q663" s="15">
        <f>Table2[[#This Row],[Discounts]]/Table2[[#This Row],[Gross Sales]]</f>
        <v>0.14000000000000001</v>
      </c>
    </row>
    <row r="664" spans="1:17" x14ac:dyDescent="0.35">
      <c r="A664" t="s">
        <v>7</v>
      </c>
      <c r="B664" t="s">
        <v>16</v>
      </c>
      <c r="C664" t="s">
        <v>43</v>
      </c>
      <c r="D664" t="s">
        <v>48</v>
      </c>
      <c r="E664" s="9">
        <v>888</v>
      </c>
      <c r="F664">
        <v>260</v>
      </c>
      <c r="G664">
        <v>300</v>
      </c>
      <c r="H664" s="9">
        <v>266400</v>
      </c>
      <c r="I664" s="9">
        <v>37296</v>
      </c>
      <c r="J664" s="9">
        <v>229104</v>
      </c>
      <c r="K664" s="9">
        <v>222000</v>
      </c>
      <c r="L664" s="9">
        <v>7104</v>
      </c>
      <c r="M664" s="10">
        <v>41699</v>
      </c>
      <c r="N664">
        <v>3</v>
      </c>
      <c r="O664" t="s">
        <v>23</v>
      </c>
      <c r="P664" t="s">
        <v>15</v>
      </c>
      <c r="Q664" s="15">
        <f>Table2[[#This Row],[Discounts]]/Table2[[#This Row],[Gross Sales]]</f>
        <v>0.14000000000000001</v>
      </c>
    </row>
    <row r="665" spans="1:17" x14ac:dyDescent="0.35">
      <c r="A665" t="s">
        <v>9</v>
      </c>
      <c r="B665" t="s">
        <v>92</v>
      </c>
      <c r="C665" t="s">
        <v>43</v>
      </c>
      <c r="D665" t="s">
        <v>48</v>
      </c>
      <c r="E665" s="9">
        <v>2844</v>
      </c>
      <c r="F665">
        <v>260</v>
      </c>
      <c r="G665">
        <v>125</v>
      </c>
      <c r="H665" s="9">
        <v>355500</v>
      </c>
      <c r="I665" s="9">
        <v>49770</v>
      </c>
      <c r="J665" s="9">
        <v>305730</v>
      </c>
      <c r="K665" s="9">
        <v>341280</v>
      </c>
      <c r="L665" s="9">
        <v>-35550</v>
      </c>
      <c r="M665" s="10">
        <v>41760</v>
      </c>
      <c r="N665">
        <v>5</v>
      </c>
      <c r="O665" t="s">
        <v>25</v>
      </c>
      <c r="P665" t="s">
        <v>15</v>
      </c>
      <c r="Q665" s="15">
        <f>Table2[[#This Row],[Discounts]]/Table2[[#This Row],[Gross Sales]]</f>
        <v>0.14000000000000001</v>
      </c>
    </row>
    <row r="666" spans="1:17" x14ac:dyDescent="0.35">
      <c r="A666" t="s">
        <v>11</v>
      </c>
      <c r="B666" t="s">
        <v>18</v>
      </c>
      <c r="C666" t="s">
        <v>43</v>
      </c>
      <c r="D666" t="s">
        <v>48</v>
      </c>
      <c r="E666" s="9">
        <v>2475</v>
      </c>
      <c r="F666">
        <v>260</v>
      </c>
      <c r="G666">
        <v>12</v>
      </c>
      <c r="H666" s="9">
        <v>29700</v>
      </c>
      <c r="I666" s="9">
        <v>4158</v>
      </c>
      <c r="J666" s="9">
        <v>25542</v>
      </c>
      <c r="K666" s="9">
        <v>7425</v>
      </c>
      <c r="L666" s="9">
        <v>18117</v>
      </c>
      <c r="M666" s="10">
        <v>41852</v>
      </c>
      <c r="N666">
        <v>8</v>
      </c>
      <c r="O666" t="s">
        <v>28</v>
      </c>
      <c r="P666" t="s">
        <v>15</v>
      </c>
      <c r="Q666" s="15">
        <f>Table2[[#This Row],[Discounts]]/Table2[[#This Row],[Gross Sales]]</f>
        <v>0.14000000000000001</v>
      </c>
    </row>
    <row r="667" spans="1:17" x14ac:dyDescent="0.35">
      <c r="A667" t="s">
        <v>8</v>
      </c>
      <c r="B667" t="s">
        <v>16</v>
      </c>
      <c r="C667" t="s">
        <v>43</v>
      </c>
      <c r="D667" t="s">
        <v>48</v>
      </c>
      <c r="E667" s="9">
        <v>1743</v>
      </c>
      <c r="F667">
        <v>260</v>
      </c>
      <c r="G667">
        <v>15</v>
      </c>
      <c r="H667" s="9">
        <v>26145</v>
      </c>
      <c r="I667" s="9">
        <v>3660.3</v>
      </c>
      <c r="J667" s="9">
        <v>22484.7</v>
      </c>
      <c r="K667" s="9">
        <v>17430</v>
      </c>
      <c r="L667" s="9">
        <v>5054.7000000000007</v>
      </c>
      <c r="M667" s="10">
        <v>41548</v>
      </c>
      <c r="N667">
        <v>10</v>
      </c>
      <c r="O667" t="s">
        <v>30</v>
      </c>
      <c r="P667" t="s">
        <v>14</v>
      </c>
      <c r="Q667" s="15">
        <f>Table2[[#This Row],[Discounts]]/Table2[[#This Row],[Gross Sales]]</f>
        <v>0.14000000000000001</v>
      </c>
    </row>
    <row r="668" spans="1:17" x14ac:dyDescent="0.35">
      <c r="A668" t="s">
        <v>11</v>
      </c>
      <c r="B668" t="s">
        <v>92</v>
      </c>
      <c r="C668" t="s">
        <v>43</v>
      </c>
      <c r="D668" t="s">
        <v>48</v>
      </c>
      <c r="E668" s="9">
        <v>2914</v>
      </c>
      <c r="F668">
        <v>260</v>
      </c>
      <c r="G668">
        <v>12</v>
      </c>
      <c r="H668" s="9">
        <v>34968</v>
      </c>
      <c r="I668" s="9">
        <v>4895.5200000000004</v>
      </c>
      <c r="J668" s="9">
        <v>30072.48</v>
      </c>
      <c r="K668" s="9">
        <v>8742</v>
      </c>
      <c r="L668" s="9">
        <v>21330.48</v>
      </c>
      <c r="M668" s="10">
        <v>41913</v>
      </c>
      <c r="N668">
        <v>10</v>
      </c>
      <c r="O668" t="s">
        <v>30</v>
      </c>
      <c r="P668" t="s">
        <v>15</v>
      </c>
      <c r="Q668" s="15">
        <f>Table2[[#This Row],[Discounts]]/Table2[[#This Row],[Gross Sales]]</f>
        <v>0.14000000000000001</v>
      </c>
    </row>
    <row r="669" spans="1:17" x14ac:dyDescent="0.35">
      <c r="A669" t="s">
        <v>10</v>
      </c>
      <c r="B669" t="s">
        <v>18</v>
      </c>
      <c r="C669" t="s">
        <v>43</v>
      </c>
      <c r="D669" t="s">
        <v>48</v>
      </c>
      <c r="E669" s="9">
        <v>1731</v>
      </c>
      <c r="F669">
        <v>260</v>
      </c>
      <c r="G669">
        <v>7</v>
      </c>
      <c r="H669" s="9">
        <v>12117</v>
      </c>
      <c r="I669" s="9">
        <v>1696.38</v>
      </c>
      <c r="J669" s="9">
        <v>10420.619999999999</v>
      </c>
      <c r="K669" s="9">
        <v>8655</v>
      </c>
      <c r="L669" s="9">
        <v>1765.619999999999</v>
      </c>
      <c r="M669" s="10">
        <v>41913</v>
      </c>
      <c r="N669">
        <v>10</v>
      </c>
      <c r="O669" t="s">
        <v>30</v>
      </c>
      <c r="P669" t="s">
        <v>15</v>
      </c>
      <c r="Q669" s="15">
        <f>Table2[[#This Row],[Discounts]]/Table2[[#This Row],[Gross Sales]]</f>
        <v>0.14000000000000001</v>
      </c>
    </row>
    <row r="670" spans="1:17" x14ac:dyDescent="0.35">
      <c r="A670" t="s">
        <v>10</v>
      </c>
      <c r="B670" t="s">
        <v>20</v>
      </c>
      <c r="C670" t="s">
        <v>43</v>
      </c>
      <c r="D670" t="s">
        <v>48</v>
      </c>
      <c r="E670" s="9">
        <v>1727</v>
      </c>
      <c r="F670">
        <v>260</v>
      </c>
      <c r="G670">
        <v>7</v>
      </c>
      <c r="H670" s="9">
        <v>12089</v>
      </c>
      <c r="I670" s="9">
        <v>1692.46</v>
      </c>
      <c r="J670" s="9">
        <v>10396.540000000001</v>
      </c>
      <c r="K670" s="9">
        <v>8635</v>
      </c>
      <c r="L670" s="9">
        <v>1761.5400000000009</v>
      </c>
      <c r="M670" s="10">
        <v>41548</v>
      </c>
      <c r="N670">
        <v>10</v>
      </c>
      <c r="O670" t="s">
        <v>30</v>
      </c>
      <c r="P670" t="s">
        <v>14</v>
      </c>
      <c r="Q670" s="15">
        <f>Table2[[#This Row],[Discounts]]/Table2[[#This Row],[Gross Sales]]</f>
        <v>0.14000000000000001</v>
      </c>
    </row>
    <row r="671" spans="1:17" x14ac:dyDescent="0.35">
      <c r="A671" t="s">
        <v>8</v>
      </c>
      <c r="B671" t="s">
        <v>20</v>
      </c>
      <c r="C671" t="s">
        <v>43</v>
      </c>
      <c r="D671" t="s">
        <v>48</v>
      </c>
      <c r="E671" s="9">
        <v>1870</v>
      </c>
      <c r="F671">
        <v>260</v>
      </c>
      <c r="G671">
        <v>15</v>
      </c>
      <c r="H671" s="9">
        <v>28050</v>
      </c>
      <c r="I671" s="9">
        <v>3927</v>
      </c>
      <c r="J671" s="9">
        <v>24123</v>
      </c>
      <c r="K671" s="9">
        <v>18700</v>
      </c>
      <c r="L671" s="9">
        <v>5423</v>
      </c>
      <c r="M671" s="10">
        <v>41579</v>
      </c>
      <c r="N671">
        <v>11</v>
      </c>
      <c r="O671" t="s">
        <v>31</v>
      </c>
      <c r="P671" t="s">
        <v>14</v>
      </c>
      <c r="Q671" s="15">
        <f>Table2[[#This Row],[Discounts]]/Table2[[#This Row],[Gross Sales]]</f>
        <v>0.14000000000000001</v>
      </c>
    </row>
    <row r="672" spans="1:17" x14ac:dyDescent="0.35">
      <c r="A672" t="s">
        <v>9</v>
      </c>
      <c r="B672" t="s">
        <v>18</v>
      </c>
      <c r="C672" t="s">
        <v>38</v>
      </c>
      <c r="D672" t="s">
        <v>48</v>
      </c>
      <c r="E672" s="9">
        <v>1174</v>
      </c>
      <c r="F672">
        <v>3</v>
      </c>
      <c r="G672">
        <v>125</v>
      </c>
      <c r="H672" s="9">
        <v>146750</v>
      </c>
      <c r="I672" s="9">
        <v>22012.5</v>
      </c>
      <c r="J672" s="9">
        <v>124737.5</v>
      </c>
      <c r="K672" s="9">
        <v>140880</v>
      </c>
      <c r="L672" s="9">
        <v>-16142.5</v>
      </c>
      <c r="M672" s="10">
        <v>41852</v>
      </c>
      <c r="N672">
        <v>8</v>
      </c>
      <c r="O672" t="s">
        <v>28</v>
      </c>
      <c r="P672" t="s">
        <v>15</v>
      </c>
      <c r="Q672" s="15">
        <f>Table2[[#This Row],[Discounts]]/Table2[[#This Row],[Gross Sales]]</f>
        <v>0.15</v>
      </c>
    </row>
    <row r="673" spans="1:17" x14ac:dyDescent="0.35">
      <c r="A673" t="s">
        <v>9</v>
      </c>
      <c r="B673" t="s">
        <v>19</v>
      </c>
      <c r="C673" t="s">
        <v>38</v>
      </c>
      <c r="D673" t="s">
        <v>48</v>
      </c>
      <c r="E673" s="9">
        <v>2767</v>
      </c>
      <c r="F673">
        <v>3</v>
      </c>
      <c r="G673">
        <v>125</v>
      </c>
      <c r="H673" s="9">
        <v>345875</v>
      </c>
      <c r="I673" s="9">
        <v>51881.25</v>
      </c>
      <c r="J673" s="9">
        <v>293993.75</v>
      </c>
      <c r="K673" s="9">
        <v>332040</v>
      </c>
      <c r="L673" s="9">
        <v>-38046.25</v>
      </c>
      <c r="M673" s="10">
        <v>41852</v>
      </c>
      <c r="N673">
        <v>8</v>
      </c>
      <c r="O673" t="s">
        <v>28</v>
      </c>
      <c r="P673" t="s">
        <v>15</v>
      </c>
      <c r="Q673" s="15">
        <f>Table2[[#This Row],[Discounts]]/Table2[[#This Row],[Gross Sales]]</f>
        <v>0.15</v>
      </c>
    </row>
    <row r="674" spans="1:17" x14ac:dyDescent="0.35">
      <c r="A674" t="s">
        <v>9</v>
      </c>
      <c r="B674" t="s">
        <v>19</v>
      </c>
      <c r="C674" t="s">
        <v>38</v>
      </c>
      <c r="D674" t="s">
        <v>48</v>
      </c>
      <c r="E674" s="9">
        <v>1085</v>
      </c>
      <c r="F674">
        <v>3</v>
      </c>
      <c r="G674">
        <v>125</v>
      </c>
      <c r="H674" s="9">
        <v>135625</v>
      </c>
      <c r="I674" s="9">
        <v>20343.75</v>
      </c>
      <c r="J674" s="9">
        <v>115281.25</v>
      </c>
      <c r="K674" s="9">
        <v>130200</v>
      </c>
      <c r="L674" s="9">
        <v>-14918.75</v>
      </c>
      <c r="M674" s="10">
        <v>41913</v>
      </c>
      <c r="N674">
        <v>10</v>
      </c>
      <c r="O674" t="s">
        <v>30</v>
      </c>
      <c r="P674" t="s">
        <v>15</v>
      </c>
      <c r="Q674" s="15">
        <f>Table2[[#This Row],[Discounts]]/Table2[[#This Row],[Gross Sales]]</f>
        <v>0.15</v>
      </c>
    </row>
    <row r="675" spans="1:17" x14ac:dyDescent="0.35">
      <c r="A675" t="s">
        <v>7</v>
      </c>
      <c r="B675" t="s">
        <v>20</v>
      </c>
      <c r="C675" t="s">
        <v>39</v>
      </c>
      <c r="D675" t="s">
        <v>48</v>
      </c>
      <c r="E675" s="9">
        <v>546</v>
      </c>
      <c r="F675">
        <v>5</v>
      </c>
      <c r="G675">
        <v>300</v>
      </c>
      <c r="H675" s="9">
        <v>163800</v>
      </c>
      <c r="I675" s="9">
        <v>24570</v>
      </c>
      <c r="J675" s="9">
        <v>139230</v>
      </c>
      <c r="K675" s="9">
        <v>136500</v>
      </c>
      <c r="L675" s="9">
        <v>2730</v>
      </c>
      <c r="M675" s="10">
        <v>41913</v>
      </c>
      <c r="N675">
        <v>10</v>
      </c>
      <c r="O675" t="s">
        <v>30</v>
      </c>
      <c r="P675" t="s">
        <v>15</v>
      </c>
      <c r="Q675" s="15">
        <f>Table2[[#This Row],[Discounts]]/Table2[[#This Row],[Gross Sales]]</f>
        <v>0.15</v>
      </c>
    </row>
    <row r="676" spans="1:17" x14ac:dyDescent="0.35">
      <c r="A676" t="s">
        <v>10</v>
      </c>
      <c r="B676" t="s">
        <v>19</v>
      </c>
      <c r="C676" t="s">
        <v>40</v>
      </c>
      <c r="D676" t="s">
        <v>48</v>
      </c>
      <c r="E676" s="9">
        <v>1158</v>
      </c>
      <c r="F676">
        <v>10</v>
      </c>
      <c r="G676">
        <v>20</v>
      </c>
      <c r="H676" s="9">
        <v>23160</v>
      </c>
      <c r="I676" s="9">
        <v>3474</v>
      </c>
      <c r="J676" s="9">
        <v>19686</v>
      </c>
      <c r="K676" s="9">
        <v>11580</v>
      </c>
      <c r="L676" s="9">
        <v>8106</v>
      </c>
      <c r="M676" s="10">
        <v>41699</v>
      </c>
      <c r="N676">
        <v>3</v>
      </c>
      <c r="O676" t="s">
        <v>23</v>
      </c>
      <c r="P676" t="s">
        <v>15</v>
      </c>
      <c r="Q676" s="15">
        <f>Table2[[#This Row],[Discounts]]/Table2[[#This Row],[Gross Sales]]</f>
        <v>0.15</v>
      </c>
    </row>
    <row r="677" spans="1:17" x14ac:dyDescent="0.35">
      <c r="A677" t="s">
        <v>8</v>
      </c>
      <c r="B677" t="s">
        <v>16</v>
      </c>
      <c r="C677" t="s">
        <v>40</v>
      </c>
      <c r="D677" t="s">
        <v>48</v>
      </c>
      <c r="E677" s="9">
        <v>1614</v>
      </c>
      <c r="F677">
        <v>10</v>
      </c>
      <c r="G677">
        <v>15</v>
      </c>
      <c r="H677" s="9">
        <v>24210</v>
      </c>
      <c r="I677" s="9">
        <v>3631.5</v>
      </c>
      <c r="J677" s="9">
        <v>20578.5</v>
      </c>
      <c r="K677" s="9">
        <v>16140</v>
      </c>
      <c r="L677" s="9">
        <v>4438.5</v>
      </c>
      <c r="M677" s="10">
        <v>41730</v>
      </c>
      <c r="N677">
        <v>4</v>
      </c>
      <c r="O677" t="s">
        <v>24</v>
      </c>
      <c r="P677" t="s">
        <v>15</v>
      </c>
      <c r="Q677" s="15">
        <f>Table2[[#This Row],[Discounts]]/Table2[[#This Row],[Gross Sales]]</f>
        <v>0.15</v>
      </c>
    </row>
    <row r="678" spans="1:17" x14ac:dyDescent="0.35">
      <c r="A678" t="s">
        <v>10</v>
      </c>
      <c r="B678" t="s">
        <v>20</v>
      </c>
      <c r="C678" t="s">
        <v>40</v>
      </c>
      <c r="D678" t="s">
        <v>48</v>
      </c>
      <c r="E678" s="9">
        <v>2535</v>
      </c>
      <c r="F678">
        <v>10</v>
      </c>
      <c r="G678">
        <v>7</v>
      </c>
      <c r="H678" s="9">
        <v>17745</v>
      </c>
      <c r="I678" s="9">
        <v>2661.75</v>
      </c>
      <c r="J678" s="9">
        <v>15083.25</v>
      </c>
      <c r="K678" s="9">
        <v>12675</v>
      </c>
      <c r="L678" s="9">
        <v>2408.25</v>
      </c>
      <c r="M678" s="10">
        <v>41730</v>
      </c>
      <c r="N678">
        <v>4</v>
      </c>
      <c r="O678" t="s">
        <v>24</v>
      </c>
      <c r="P678" t="s">
        <v>15</v>
      </c>
      <c r="Q678" s="15">
        <f>Table2[[#This Row],[Discounts]]/Table2[[#This Row],[Gross Sales]]</f>
        <v>0.15</v>
      </c>
    </row>
    <row r="679" spans="1:17" x14ac:dyDescent="0.35">
      <c r="A679" t="s">
        <v>10</v>
      </c>
      <c r="B679" t="s">
        <v>20</v>
      </c>
      <c r="C679" t="s">
        <v>40</v>
      </c>
      <c r="D679" t="s">
        <v>48</v>
      </c>
      <c r="E679" s="9">
        <v>2851</v>
      </c>
      <c r="F679">
        <v>10</v>
      </c>
      <c r="G679">
        <v>350</v>
      </c>
      <c r="H679" s="9">
        <v>997850</v>
      </c>
      <c r="I679" s="9">
        <v>149677.5</v>
      </c>
      <c r="J679" s="9">
        <v>848172.5</v>
      </c>
      <c r="K679" s="9">
        <v>741260</v>
      </c>
      <c r="L679" s="9">
        <v>106912.5</v>
      </c>
      <c r="M679" s="10">
        <v>41760</v>
      </c>
      <c r="N679">
        <v>5</v>
      </c>
      <c r="O679" t="s">
        <v>25</v>
      </c>
      <c r="P679" t="s">
        <v>15</v>
      </c>
      <c r="Q679" s="15">
        <f>Table2[[#This Row],[Discounts]]/Table2[[#This Row],[Gross Sales]]</f>
        <v>0.15</v>
      </c>
    </row>
    <row r="680" spans="1:17" x14ac:dyDescent="0.35">
      <c r="A680" t="s">
        <v>8</v>
      </c>
      <c r="B680" t="s">
        <v>16</v>
      </c>
      <c r="C680" t="s">
        <v>40</v>
      </c>
      <c r="D680" t="s">
        <v>48</v>
      </c>
      <c r="E680" s="9">
        <v>2559</v>
      </c>
      <c r="F680">
        <v>10</v>
      </c>
      <c r="G680">
        <v>15</v>
      </c>
      <c r="H680" s="9">
        <v>38385</v>
      </c>
      <c r="I680" s="9">
        <v>5757.75</v>
      </c>
      <c r="J680" s="9">
        <v>32627.25</v>
      </c>
      <c r="K680" s="9">
        <v>25590</v>
      </c>
      <c r="L680" s="9">
        <v>7037.25</v>
      </c>
      <c r="M680" s="10">
        <v>41852</v>
      </c>
      <c r="N680">
        <v>8</v>
      </c>
      <c r="O680" t="s">
        <v>28</v>
      </c>
      <c r="P680" t="s">
        <v>15</v>
      </c>
      <c r="Q680" s="15">
        <f>Table2[[#This Row],[Discounts]]/Table2[[#This Row],[Gross Sales]]</f>
        <v>0.15</v>
      </c>
    </row>
    <row r="681" spans="1:17" x14ac:dyDescent="0.35">
      <c r="A681" t="s">
        <v>10</v>
      </c>
      <c r="B681" t="s">
        <v>92</v>
      </c>
      <c r="C681" t="s">
        <v>40</v>
      </c>
      <c r="D681" t="s">
        <v>48</v>
      </c>
      <c r="E681" s="9">
        <v>267</v>
      </c>
      <c r="F681">
        <v>10</v>
      </c>
      <c r="G681">
        <v>20</v>
      </c>
      <c r="H681" s="9">
        <v>5340</v>
      </c>
      <c r="I681" s="9">
        <v>801</v>
      </c>
      <c r="J681" s="9">
        <v>4539</v>
      </c>
      <c r="K681" s="9">
        <v>2670</v>
      </c>
      <c r="L681" s="9">
        <v>1869</v>
      </c>
      <c r="M681" s="10">
        <v>41548</v>
      </c>
      <c r="N681">
        <v>10</v>
      </c>
      <c r="O681" t="s">
        <v>30</v>
      </c>
      <c r="P681" t="s">
        <v>14</v>
      </c>
      <c r="Q681" s="15">
        <f>Table2[[#This Row],[Discounts]]/Table2[[#This Row],[Gross Sales]]</f>
        <v>0.15</v>
      </c>
    </row>
    <row r="682" spans="1:17" x14ac:dyDescent="0.35">
      <c r="A682" t="s">
        <v>9</v>
      </c>
      <c r="B682" t="s">
        <v>19</v>
      </c>
      <c r="C682" t="s">
        <v>40</v>
      </c>
      <c r="D682" t="s">
        <v>48</v>
      </c>
      <c r="E682" s="9">
        <v>1085</v>
      </c>
      <c r="F682">
        <v>10</v>
      </c>
      <c r="G682">
        <v>125</v>
      </c>
      <c r="H682" s="9">
        <v>135625</v>
      </c>
      <c r="I682" s="9">
        <v>20343.75</v>
      </c>
      <c r="J682" s="9">
        <v>115281.25</v>
      </c>
      <c r="K682" s="9">
        <v>130200</v>
      </c>
      <c r="L682" s="9">
        <v>-14918.75</v>
      </c>
      <c r="M682" s="10">
        <v>41913</v>
      </c>
      <c r="N682">
        <v>10</v>
      </c>
      <c r="O682" t="s">
        <v>30</v>
      </c>
      <c r="P682" t="s">
        <v>15</v>
      </c>
      <c r="Q682" s="15">
        <f>Table2[[#This Row],[Discounts]]/Table2[[#This Row],[Gross Sales]]</f>
        <v>0.15</v>
      </c>
    </row>
    <row r="683" spans="1:17" x14ac:dyDescent="0.35">
      <c r="A683" t="s">
        <v>8</v>
      </c>
      <c r="B683" t="s">
        <v>19</v>
      </c>
      <c r="C683" t="s">
        <v>40</v>
      </c>
      <c r="D683" t="s">
        <v>48</v>
      </c>
      <c r="E683" s="9">
        <v>1175</v>
      </c>
      <c r="F683">
        <v>10</v>
      </c>
      <c r="G683">
        <v>15</v>
      </c>
      <c r="H683" s="9">
        <v>17625</v>
      </c>
      <c r="I683" s="9">
        <v>2643.75</v>
      </c>
      <c r="J683" s="9">
        <v>14981.25</v>
      </c>
      <c r="K683" s="9">
        <v>11750</v>
      </c>
      <c r="L683" s="9">
        <v>3231.25</v>
      </c>
      <c r="M683" s="10">
        <v>41913</v>
      </c>
      <c r="N683">
        <v>10</v>
      </c>
      <c r="O683" t="s">
        <v>30</v>
      </c>
      <c r="P683" t="s">
        <v>15</v>
      </c>
      <c r="Q683" s="15">
        <f>Table2[[#This Row],[Discounts]]/Table2[[#This Row],[Gross Sales]]</f>
        <v>0.15</v>
      </c>
    </row>
    <row r="684" spans="1:17" x14ac:dyDescent="0.35">
      <c r="A684" t="s">
        <v>10</v>
      </c>
      <c r="B684" t="s">
        <v>92</v>
      </c>
      <c r="C684" t="s">
        <v>40</v>
      </c>
      <c r="D684" t="s">
        <v>48</v>
      </c>
      <c r="E684" s="9">
        <v>2007</v>
      </c>
      <c r="F684">
        <v>10</v>
      </c>
      <c r="G684">
        <v>350</v>
      </c>
      <c r="H684" s="9">
        <v>702450</v>
      </c>
      <c r="I684" s="9">
        <v>105367.5</v>
      </c>
      <c r="J684" s="9">
        <v>597082.5</v>
      </c>
      <c r="K684" s="9">
        <v>521820</v>
      </c>
      <c r="L684" s="9">
        <v>75262.5</v>
      </c>
      <c r="M684" s="10">
        <v>41579</v>
      </c>
      <c r="N684">
        <v>11</v>
      </c>
      <c r="O684" t="s">
        <v>31</v>
      </c>
      <c r="P684" t="s">
        <v>14</v>
      </c>
      <c r="Q684" s="15">
        <f>Table2[[#This Row],[Discounts]]/Table2[[#This Row],[Gross Sales]]</f>
        <v>0.15</v>
      </c>
    </row>
    <row r="685" spans="1:17" x14ac:dyDescent="0.35">
      <c r="A685" t="s">
        <v>10</v>
      </c>
      <c r="B685" t="s">
        <v>20</v>
      </c>
      <c r="C685" t="s">
        <v>40</v>
      </c>
      <c r="D685" t="s">
        <v>48</v>
      </c>
      <c r="E685" s="9">
        <v>2151</v>
      </c>
      <c r="F685">
        <v>10</v>
      </c>
      <c r="G685">
        <v>350</v>
      </c>
      <c r="H685" s="9">
        <v>752850</v>
      </c>
      <c r="I685" s="9">
        <v>112927.5</v>
      </c>
      <c r="J685" s="9">
        <v>639922.5</v>
      </c>
      <c r="K685" s="9">
        <v>559260</v>
      </c>
      <c r="L685" s="9">
        <v>80662.5</v>
      </c>
      <c r="M685" s="10">
        <v>41579</v>
      </c>
      <c r="N685">
        <v>11</v>
      </c>
      <c r="O685" t="s">
        <v>31</v>
      </c>
      <c r="P685" t="s">
        <v>14</v>
      </c>
      <c r="Q685" s="15">
        <f>Table2[[#This Row],[Discounts]]/Table2[[#This Row],[Gross Sales]]</f>
        <v>0.15</v>
      </c>
    </row>
    <row r="686" spans="1:17" x14ac:dyDescent="0.35">
      <c r="A686" t="s">
        <v>11</v>
      </c>
      <c r="B686" t="s">
        <v>92</v>
      </c>
      <c r="C686" t="s">
        <v>40</v>
      </c>
      <c r="D686" t="s">
        <v>48</v>
      </c>
      <c r="E686" s="9">
        <v>914</v>
      </c>
      <c r="F686">
        <v>10</v>
      </c>
      <c r="G686">
        <v>12</v>
      </c>
      <c r="H686" s="9">
        <v>10968</v>
      </c>
      <c r="I686" s="9">
        <v>1645.2</v>
      </c>
      <c r="J686" s="9">
        <v>9322.7999999999993</v>
      </c>
      <c r="K686" s="9">
        <v>2742</v>
      </c>
      <c r="L686" s="9">
        <v>6580.7999999999993</v>
      </c>
      <c r="M686" s="10">
        <v>41974</v>
      </c>
      <c r="N686">
        <v>12</v>
      </c>
      <c r="O686" t="s">
        <v>32</v>
      </c>
      <c r="P686" t="s">
        <v>15</v>
      </c>
      <c r="Q686" s="15">
        <f>Table2[[#This Row],[Discounts]]/Table2[[#This Row],[Gross Sales]]</f>
        <v>0.15</v>
      </c>
    </row>
    <row r="687" spans="1:17" x14ac:dyDescent="0.35">
      <c r="A687" t="s">
        <v>10</v>
      </c>
      <c r="B687" t="s">
        <v>18</v>
      </c>
      <c r="C687" t="s">
        <v>40</v>
      </c>
      <c r="D687" t="s">
        <v>48</v>
      </c>
      <c r="E687" s="9">
        <v>293</v>
      </c>
      <c r="F687">
        <v>10</v>
      </c>
      <c r="G687">
        <v>20</v>
      </c>
      <c r="H687" s="9">
        <v>5860</v>
      </c>
      <c r="I687" s="9">
        <v>879</v>
      </c>
      <c r="J687" s="9">
        <v>4981</v>
      </c>
      <c r="K687" s="9">
        <v>2930</v>
      </c>
      <c r="L687" s="9">
        <v>2051</v>
      </c>
      <c r="M687" s="10">
        <v>41974</v>
      </c>
      <c r="N687">
        <v>12</v>
      </c>
      <c r="O687" t="s">
        <v>32</v>
      </c>
      <c r="P687" t="s">
        <v>15</v>
      </c>
      <c r="Q687" s="15">
        <f>Table2[[#This Row],[Discounts]]/Table2[[#This Row],[Gross Sales]]</f>
        <v>0.15</v>
      </c>
    </row>
    <row r="688" spans="1:17" x14ac:dyDescent="0.35">
      <c r="A688" t="s">
        <v>11</v>
      </c>
      <c r="B688" t="s">
        <v>20</v>
      </c>
      <c r="C688" t="s">
        <v>41</v>
      </c>
      <c r="D688" t="s">
        <v>48</v>
      </c>
      <c r="E688" s="9">
        <v>500</v>
      </c>
      <c r="F688">
        <v>120</v>
      </c>
      <c r="G688">
        <v>12</v>
      </c>
      <c r="H688" s="9">
        <v>6000</v>
      </c>
      <c r="I688" s="9">
        <v>900</v>
      </c>
      <c r="J688" s="9">
        <v>5100</v>
      </c>
      <c r="K688" s="9">
        <v>1500</v>
      </c>
      <c r="L688" s="9">
        <v>3600</v>
      </c>
      <c r="M688" s="10">
        <v>41699</v>
      </c>
      <c r="N688">
        <v>3</v>
      </c>
      <c r="O688" t="s">
        <v>23</v>
      </c>
      <c r="P688" t="s">
        <v>15</v>
      </c>
      <c r="Q688" s="15">
        <f>Table2[[#This Row],[Discounts]]/Table2[[#This Row],[Gross Sales]]</f>
        <v>0.15</v>
      </c>
    </row>
    <row r="689" spans="1:17" x14ac:dyDescent="0.35">
      <c r="A689" t="s">
        <v>8</v>
      </c>
      <c r="B689" t="s">
        <v>18</v>
      </c>
      <c r="C689" t="s">
        <v>41</v>
      </c>
      <c r="D689" t="s">
        <v>48</v>
      </c>
      <c r="E689" s="9">
        <v>2826</v>
      </c>
      <c r="F689">
        <v>120</v>
      </c>
      <c r="G689">
        <v>15</v>
      </c>
      <c r="H689" s="9">
        <v>42390</v>
      </c>
      <c r="I689" s="9">
        <v>6358.5</v>
      </c>
      <c r="J689" s="9">
        <v>36031.5</v>
      </c>
      <c r="K689" s="9">
        <v>28260</v>
      </c>
      <c r="L689" s="9">
        <v>7771.5</v>
      </c>
      <c r="M689" s="10">
        <v>41760</v>
      </c>
      <c r="N689">
        <v>5</v>
      </c>
      <c r="O689" t="s">
        <v>25</v>
      </c>
      <c r="P689" t="s">
        <v>15</v>
      </c>
      <c r="Q689" s="15">
        <f>Table2[[#This Row],[Discounts]]/Table2[[#This Row],[Gross Sales]]</f>
        <v>0.15</v>
      </c>
    </row>
    <row r="690" spans="1:17" x14ac:dyDescent="0.35">
      <c r="A690" t="s">
        <v>9</v>
      </c>
      <c r="B690" t="s">
        <v>18</v>
      </c>
      <c r="C690" t="s">
        <v>41</v>
      </c>
      <c r="D690" t="s">
        <v>48</v>
      </c>
      <c r="E690" s="9">
        <v>663</v>
      </c>
      <c r="F690">
        <v>120</v>
      </c>
      <c r="G690">
        <v>125</v>
      </c>
      <c r="H690" s="9">
        <v>82875</v>
      </c>
      <c r="I690" s="9">
        <v>12431.25</v>
      </c>
      <c r="J690" s="9">
        <v>70443.75</v>
      </c>
      <c r="K690" s="9">
        <v>79560</v>
      </c>
      <c r="L690" s="9">
        <v>-9116.25</v>
      </c>
      <c r="M690" s="10">
        <v>41883</v>
      </c>
      <c r="N690">
        <v>9</v>
      </c>
      <c r="O690" t="s">
        <v>29</v>
      </c>
      <c r="P690" t="s">
        <v>15</v>
      </c>
      <c r="Q690" s="15">
        <f>Table2[[#This Row],[Discounts]]/Table2[[#This Row],[Gross Sales]]</f>
        <v>0.15</v>
      </c>
    </row>
    <row r="691" spans="1:17" x14ac:dyDescent="0.35">
      <c r="A691" t="s">
        <v>7</v>
      </c>
      <c r="B691" t="s">
        <v>92</v>
      </c>
      <c r="C691" t="s">
        <v>41</v>
      </c>
      <c r="D691" t="s">
        <v>48</v>
      </c>
      <c r="E691" s="9">
        <v>2574</v>
      </c>
      <c r="F691">
        <v>120</v>
      </c>
      <c r="G691">
        <v>300</v>
      </c>
      <c r="H691" s="9">
        <v>772200</v>
      </c>
      <c r="I691" s="9">
        <v>115830</v>
      </c>
      <c r="J691" s="9">
        <v>656370</v>
      </c>
      <c r="K691" s="9">
        <v>643500</v>
      </c>
      <c r="L691" s="9">
        <v>12870</v>
      </c>
      <c r="M691" s="10">
        <v>41579</v>
      </c>
      <c r="N691">
        <v>11</v>
      </c>
      <c r="O691" t="s">
        <v>31</v>
      </c>
      <c r="P691" t="s">
        <v>14</v>
      </c>
      <c r="Q691" s="15">
        <f>Table2[[#This Row],[Discounts]]/Table2[[#This Row],[Gross Sales]]</f>
        <v>0.15</v>
      </c>
    </row>
    <row r="692" spans="1:17" x14ac:dyDescent="0.35">
      <c r="A692" t="s">
        <v>9</v>
      </c>
      <c r="B692" t="s">
        <v>92</v>
      </c>
      <c r="C692" t="s">
        <v>41</v>
      </c>
      <c r="D692" t="s">
        <v>48</v>
      </c>
      <c r="E692" s="9">
        <v>2438</v>
      </c>
      <c r="F692">
        <v>120</v>
      </c>
      <c r="G692">
        <v>125</v>
      </c>
      <c r="H692" s="9">
        <v>304750</v>
      </c>
      <c r="I692" s="9">
        <v>45712.5</v>
      </c>
      <c r="J692" s="9">
        <v>259037.5</v>
      </c>
      <c r="K692" s="9">
        <v>292560</v>
      </c>
      <c r="L692" s="9">
        <v>-33522.5</v>
      </c>
      <c r="M692" s="10">
        <v>41609</v>
      </c>
      <c r="N692">
        <v>12</v>
      </c>
      <c r="O692" t="s">
        <v>32</v>
      </c>
      <c r="P692" t="s">
        <v>14</v>
      </c>
      <c r="Q692" s="15">
        <f>Table2[[#This Row],[Discounts]]/Table2[[#This Row],[Gross Sales]]</f>
        <v>0.15</v>
      </c>
    </row>
    <row r="693" spans="1:17" x14ac:dyDescent="0.35">
      <c r="A693" t="s">
        <v>11</v>
      </c>
      <c r="B693" t="s">
        <v>92</v>
      </c>
      <c r="C693" t="s">
        <v>41</v>
      </c>
      <c r="D693" t="s">
        <v>48</v>
      </c>
      <c r="E693" s="9">
        <v>914</v>
      </c>
      <c r="F693">
        <v>120</v>
      </c>
      <c r="G693">
        <v>12</v>
      </c>
      <c r="H693" s="9">
        <v>10968</v>
      </c>
      <c r="I693" s="9">
        <v>1645.2</v>
      </c>
      <c r="J693" s="9">
        <v>9322.7999999999993</v>
      </c>
      <c r="K693" s="9">
        <v>2742</v>
      </c>
      <c r="L693" s="9">
        <v>6580.7999999999993</v>
      </c>
      <c r="M693" s="10">
        <v>41974</v>
      </c>
      <c r="N693">
        <v>12</v>
      </c>
      <c r="O693" t="s">
        <v>32</v>
      </c>
      <c r="P693" t="s">
        <v>15</v>
      </c>
      <c r="Q693" s="15">
        <f>Table2[[#This Row],[Discounts]]/Table2[[#This Row],[Gross Sales]]</f>
        <v>0.15</v>
      </c>
    </row>
    <row r="694" spans="1:17" x14ac:dyDescent="0.35">
      <c r="A694" t="s">
        <v>10</v>
      </c>
      <c r="B694" t="s">
        <v>16</v>
      </c>
      <c r="C694" t="s">
        <v>42</v>
      </c>
      <c r="D694" t="s">
        <v>48</v>
      </c>
      <c r="E694" s="9">
        <v>865.5</v>
      </c>
      <c r="F694">
        <v>250</v>
      </c>
      <c r="G694">
        <v>20</v>
      </c>
      <c r="H694" s="9">
        <v>17310</v>
      </c>
      <c r="I694" s="9">
        <v>2596.5</v>
      </c>
      <c r="J694" s="9">
        <v>14713.5</v>
      </c>
      <c r="K694" s="9">
        <v>8655</v>
      </c>
      <c r="L694" s="9">
        <v>6058.5</v>
      </c>
      <c r="M694" s="10">
        <v>41821</v>
      </c>
      <c r="N694">
        <v>7</v>
      </c>
      <c r="O694" t="s">
        <v>27</v>
      </c>
      <c r="P694" t="s">
        <v>15</v>
      </c>
      <c r="Q694" s="15">
        <f>Table2[[#This Row],[Discounts]]/Table2[[#This Row],[Gross Sales]]</f>
        <v>0.15</v>
      </c>
    </row>
    <row r="695" spans="1:17" x14ac:dyDescent="0.35">
      <c r="A695" t="s">
        <v>8</v>
      </c>
      <c r="B695" t="s">
        <v>19</v>
      </c>
      <c r="C695" t="s">
        <v>42</v>
      </c>
      <c r="D695" t="s">
        <v>48</v>
      </c>
      <c r="E695" s="9">
        <v>492</v>
      </c>
      <c r="F695">
        <v>250</v>
      </c>
      <c r="G695">
        <v>15</v>
      </c>
      <c r="H695" s="9">
        <v>7380</v>
      </c>
      <c r="I695" s="9">
        <v>1107</v>
      </c>
      <c r="J695" s="9">
        <v>6273</v>
      </c>
      <c r="K695" s="9">
        <v>4920</v>
      </c>
      <c r="L695" s="9">
        <v>1353</v>
      </c>
      <c r="M695" s="10">
        <v>41821</v>
      </c>
      <c r="N695">
        <v>7</v>
      </c>
      <c r="O695" t="s">
        <v>27</v>
      </c>
      <c r="P695" t="s">
        <v>15</v>
      </c>
      <c r="Q695" s="15">
        <f>Table2[[#This Row],[Discounts]]/Table2[[#This Row],[Gross Sales]]</f>
        <v>0.15</v>
      </c>
    </row>
    <row r="696" spans="1:17" x14ac:dyDescent="0.35">
      <c r="A696" t="s">
        <v>10</v>
      </c>
      <c r="B696" t="s">
        <v>92</v>
      </c>
      <c r="C696" t="s">
        <v>42</v>
      </c>
      <c r="D696" t="s">
        <v>48</v>
      </c>
      <c r="E696" s="9">
        <v>267</v>
      </c>
      <c r="F696">
        <v>250</v>
      </c>
      <c r="G696">
        <v>20</v>
      </c>
      <c r="H696" s="9">
        <v>5340</v>
      </c>
      <c r="I696" s="9">
        <v>801</v>
      </c>
      <c r="J696" s="9">
        <v>4539</v>
      </c>
      <c r="K696" s="9">
        <v>2670</v>
      </c>
      <c r="L696" s="9">
        <v>1869</v>
      </c>
      <c r="M696" s="10">
        <v>41548</v>
      </c>
      <c r="N696">
        <v>10</v>
      </c>
      <c r="O696" t="s">
        <v>30</v>
      </c>
      <c r="P696" t="s">
        <v>14</v>
      </c>
      <c r="Q696" s="15">
        <f>Table2[[#This Row],[Discounts]]/Table2[[#This Row],[Gross Sales]]</f>
        <v>0.15</v>
      </c>
    </row>
    <row r="697" spans="1:17" x14ac:dyDescent="0.35">
      <c r="A697" t="s">
        <v>8</v>
      </c>
      <c r="B697" t="s">
        <v>19</v>
      </c>
      <c r="C697" t="s">
        <v>42</v>
      </c>
      <c r="D697" t="s">
        <v>48</v>
      </c>
      <c r="E697" s="9">
        <v>1175</v>
      </c>
      <c r="F697">
        <v>250</v>
      </c>
      <c r="G697">
        <v>15</v>
      </c>
      <c r="H697" s="9">
        <v>17625</v>
      </c>
      <c r="I697" s="9">
        <v>2643.75</v>
      </c>
      <c r="J697" s="9">
        <v>14981.25</v>
      </c>
      <c r="K697" s="9">
        <v>11750</v>
      </c>
      <c r="L697" s="9">
        <v>3231.25</v>
      </c>
      <c r="M697" s="10">
        <v>41913</v>
      </c>
      <c r="N697">
        <v>10</v>
      </c>
      <c r="O697" t="s">
        <v>30</v>
      </c>
      <c r="P697" t="s">
        <v>15</v>
      </c>
      <c r="Q697" s="15">
        <f>Table2[[#This Row],[Discounts]]/Table2[[#This Row],[Gross Sales]]</f>
        <v>0.15</v>
      </c>
    </row>
    <row r="698" spans="1:17" x14ac:dyDescent="0.35">
      <c r="A698" t="s">
        <v>9</v>
      </c>
      <c r="B698" t="s">
        <v>16</v>
      </c>
      <c r="C698" t="s">
        <v>42</v>
      </c>
      <c r="D698" t="s">
        <v>48</v>
      </c>
      <c r="E698" s="9">
        <v>2954</v>
      </c>
      <c r="F698">
        <v>250</v>
      </c>
      <c r="G698">
        <v>125</v>
      </c>
      <c r="H698" s="9">
        <v>369250</v>
      </c>
      <c r="I698" s="9">
        <v>55387.5</v>
      </c>
      <c r="J698" s="9">
        <v>313862.5</v>
      </c>
      <c r="K698" s="9">
        <v>354480</v>
      </c>
      <c r="L698" s="9">
        <v>-40617.5</v>
      </c>
      <c r="M698" s="10">
        <v>41579</v>
      </c>
      <c r="N698">
        <v>11</v>
      </c>
      <c r="O698" t="s">
        <v>31</v>
      </c>
      <c r="P698" t="s">
        <v>14</v>
      </c>
      <c r="Q698" s="15">
        <f>Table2[[#This Row],[Discounts]]/Table2[[#This Row],[Gross Sales]]</f>
        <v>0.15</v>
      </c>
    </row>
    <row r="699" spans="1:17" x14ac:dyDescent="0.35">
      <c r="A699" t="s">
        <v>9</v>
      </c>
      <c r="B699" t="s">
        <v>19</v>
      </c>
      <c r="C699" t="s">
        <v>42</v>
      </c>
      <c r="D699" t="s">
        <v>48</v>
      </c>
      <c r="E699" s="9">
        <v>552</v>
      </c>
      <c r="F699">
        <v>250</v>
      </c>
      <c r="G699">
        <v>125</v>
      </c>
      <c r="H699" s="9">
        <v>69000</v>
      </c>
      <c r="I699" s="9">
        <v>10350</v>
      </c>
      <c r="J699" s="9">
        <v>58650</v>
      </c>
      <c r="K699" s="9">
        <v>66240</v>
      </c>
      <c r="L699" s="9">
        <v>-7590</v>
      </c>
      <c r="M699" s="10">
        <v>41944</v>
      </c>
      <c r="N699">
        <v>11</v>
      </c>
      <c r="O699" t="s">
        <v>31</v>
      </c>
      <c r="P699" t="s">
        <v>15</v>
      </c>
      <c r="Q699" s="15">
        <f>Table2[[#This Row],[Discounts]]/Table2[[#This Row],[Gross Sales]]</f>
        <v>0.15</v>
      </c>
    </row>
    <row r="700" spans="1:17" x14ac:dyDescent="0.35">
      <c r="A700" t="s">
        <v>10</v>
      </c>
      <c r="B700" t="s">
        <v>18</v>
      </c>
      <c r="C700" t="s">
        <v>42</v>
      </c>
      <c r="D700" t="s">
        <v>48</v>
      </c>
      <c r="E700" s="9">
        <v>293</v>
      </c>
      <c r="F700">
        <v>250</v>
      </c>
      <c r="G700">
        <v>20</v>
      </c>
      <c r="H700" s="9">
        <v>5860</v>
      </c>
      <c r="I700" s="9">
        <v>879</v>
      </c>
      <c r="J700" s="9">
        <v>4981</v>
      </c>
      <c r="K700" s="9">
        <v>2930</v>
      </c>
      <c r="L700" s="9">
        <v>2051</v>
      </c>
      <c r="M700" s="10">
        <v>41974</v>
      </c>
      <c r="N700">
        <v>12</v>
      </c>
      <c r="O700" t="s">
        <v>32</v>
      </c>
      <c r="P700" t="s">
        <v>15</v>
      </c>
      <c r="Q700" s="15">
        <f>Table2[[#This Row],[Discounts]]/Table2[[#This Row],[Gross Sales]]</f>
        <v>0.15</v>
      </c>
    </row>
    <row r="701" spans="1:17" x14ac:dyDescent="0.35">
      <c r="A701" t="s">
        <v>7</v>
      </c>
      <c r="B701" t="s">
        <v>18</v>
      </c>
      <c r="C701" t="s">
        <v>43</v>
      </c>
      <c r="D701" t="s">
        <v>48</v>
      </c>
      <c r="E701" s="9">
        <v>2475</v>
      </c>
      <c r="F701">
        <v>260</v>
      </c>
      <c r="G701">
        <v>300</v>
      </c>
      <c r="H701" s="9">
        <v>742500</v>
      </c>
      <c r="I701" s="9">
        <v>111375</v>
      </c>
      <c r="J701" s="9">
        <v>631125</v>
      </c>
      <c r="K701" s="9">
        <v>618750</v>
      </c>
      <c r="L701" s="9">
        <v>12375</v>
      </c>
      <c r="M701" s="10">
        <v>41699</v>
      </c>
      <c r="N701">
        <v>3</v>
      </c>
      <c r="O701" t="s">
        <v>23</v>
      </c>
      <c r="P701" t="s">
        <v>15</v>
      </c>
      <c r="Q701" s="15">
        <f>Table2[[#This Row],[Discounts]]/Table2[[#This Row],[Gross Sales]]</f>
        <v>0.15</v>
      </c>
    </row>
    <row r="702" spans="1:17" x14ac:dyDescent="0.35">
      <c r="A702" t="s">
        <v>7</v>
      </c>
      <c r="B702" t="s">
        <v>20</v>
      </c>
      <c r="C702" t="s">
        <v>43</v>
      </c>
      <c r="D702" t="s">
        <v>48</v>
      </c>
      <c r="E702" s="9">
        <v>546</v>
      </c>
      <c r="F702">
        <v>260</v>
      </c>
      <c r="G702">
        <v>300</v>
      </c>
      <c r="H702" s="9">
        <v>163800</v>
      </c>
      <c r="I702" s="9">
        <v>24570</v>
      </c>
      <c r="J702" s="9">
        <v>139230</v>
      </c>
      <c r="K702" s="9">
        <v>136500</v>
      </c>
      <c r="L702" s="9">
        <v>2730</v>
      </c>
      <c r="M702" s="10">
        <v>41913</v>
      </c>
      <c r="N702">
        <v>10</v>
      </c>
      <c r="O702" t="s">
        <v>30</v>
      </c>
      <c r="P702" t="s">
        <v>15</v>
      </c>
      <c r="Q702" s="15">
        <f>Table2[[#This Row],[Discounts]]/Table2[[#This Row],[Gross Sales]]</f>
        <v>0.15</v>
      </c>
    </row>
    <row r="703" spans="1:17" x14ac:dyDescent="0.35">
      <c r="A703" t="s">
        <v>10</v>
      </c>
      <c r="B703" t="s">
        <v>20</v>
      </c>
      <c r="C703" t="s">
        <v>39</v>
      </c>
      <c r="D703" t="s">
        <v>48</v>
      </c>
      <c r="E703" s="9">
        <v>1368</v>
      </c>
      <c r="F703">
        <v>5</v>
      </c>
      <c r="G703">
        <v>7</v>
      </c>
      <c r="H703" s="9">
        <v>9576</v>
      </c>
      <c r="I703" s="9">
        <v>1436.4</v>
      </c>
      <c r="J703" s="9">
        <v>8139.6</v>
      </c>
      <c r="K703" s="9">
        <v>6840</v>
      </c>
      <c r="L703" s="9">
        <v>1299.6000000000004</v>
      </c>
      <c r="M703" s="10">
        <v>41671</v>
      </c>
      <c r="N703">
        <v>2</v>
      </c>
      <c r="O703" t="s">
        <v>22</v>
      </c>
      <c r="P703" t="s">
        <v>15</v>
      </c>
      <c r="Q703" s="15">
        <f>Table2[[#This Row],[Discounts]]/Table2[[#This Row],[Gross Sales]]</f>
        <v>0.15000000000000002</v>
      </c>
    </row>
    <row r="704" spans="1:17" x14ac:dyDescent="0.35">
      <c r="A704" t="s">
        <v>10</v>
      </c>
      <c r="B704" t="s">
        <v>16</v>
      </c>
      <c r="C704" t="s">
        <v>40</v>
      </c>
      <c r="D704" t="s">
        <v>48</v>
      </c>
      <c r="E704" s="9">
        <v>723</v>
      </c>
      <c r="F704">
        <v>10</v>
      </c>
      <c r="G704">
        <v>7</v>
      </c>
      <c r="H704" s="9">
        <v>5061</v>
      </c>
      <c r="I704" s="9">
        <v>759.15000000000009</v>
      </c>
      <c r="J704" s="9">
        <v>4301.8500000000004</v>
      </c>
      <c r="K704" s="9">
        <v>3615</v>
      </c>
      <c r="L704" s="9">
        <v>686.85000000000014</v>
      </c>
      <c r="M704" s="10">
        <v>41730</v>
      </c>
      <c r="N704">
        <v>4</v>
      </c>
      <c r="O704" t="s">
        <v>24</v>
      </c>
      <c r="P704" t="s">
        <v>15</v>
      </c>
      <c r="Q704" s="15">
        <f>Table2[[#This Row],[Discounts]]/Table2[[#This Row],[Gross Sales]]</f>
        <v>0.15000000000000002</v>
      </c>
    </row>
    <row r="705" spans="1:17" x14ac:dyDescent="0.35">
      <c r="A705" t="s">
        <v>11</v>
      </c>
      <c r="B705" t="s">
        <v>92</v>
      </c>
      <c r="C705" t="s">
        <v>42</v>
      </c>
      <c r="D705" t="s">
        <v>48</v>
      </c>
      <c r="E705" s="9">
        <v>1806</v>
      </c>
      <c r="F705">
        <v>250</v>
      </c>
      <c r="G705">
        <v>12</v>
      </c>
      <c r="H705" s="9">
        <v>21672</v>
      </c>
      <c r="I705" s="9">
        <v>3250.8</v>
      </c>
      <c r="J705" s="9">
        <v>18421.2</v>
      </c>
      <c r="K705" s="9">
        <v>5418</v>
      </c>
      <c r="L705" s="9">
        <v>13003.2</v>
      </c>
      <c r="M705" s="10">
        <v>41760</v>
      </c>
      <c r="N705">
        <v>5</v>
      </c>
      <c r="O705" t="s">
        <v>25</v>
      </c>
      <c r="P705" t="s">
        <v>15</v>
      </c>
      <c r="Q705" s="15">
        <f>Table2[[#This Row],[Discounts]]/Table2[[#This Row],[Gross Sales]]</f>
        <v>0.15000000000000002</v>
      </c>
    </row>
    <row r="708" spans="1:17" x14ac:dyDescent="0.35">
      <c r="Q708" s="15">
        <f>AVERAGE(Table2[Discount Percentage])</f>
        <v>7.2940340909091031E-2</v>
      </c>
    </row>
  </sheetData>
  <pageMargins left="0.7" right="0.7" top="0.75" bottom="0.75" header="0.3" footer="0.3"/>
  <pageSetup orientation="portrait" horizontalDpi="360" verticalDpi="36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12"/>
  <sheetViews>
    <sheetView topLeftCell="A27" zoomScaleNormal="100" workbookViewId="0">
      <selection activeCell="A45" sqref="A45"/>
    </sheetView>
  </sheetViews>
  <sheetFormatPr defaultRowHeight="14.5" x14ac:dyDescent="0.35"/>
  <cols>
    <col min="1" max="1" width="16.36328125" customWidth="1"/>
    <col min="2" max="2" width="26.54296875" customWidth="1"/>
    <col min="3" max="3" width="14.08984375" style="3" customWidth="1"/>
    <col min="4" max="4" width="17.453125" customWidth="1"/>
    <col min="5" max="5" width="14.36328125" style="1" customWidth="1"/>
    <col min="6" max="6" width="14.36328125" style="1" bestFit="1" customWidth="1"/>
    <col min="7" max="7" width="12.54296875" style="1" bestFit="1" customWidth="1"/>
    <col min="8" max="8" width="14.36328125" style="1" bestFit="1" customWidth="1"/>
    <col min="9" max="9" width="12.54296875" style="1" bestFit="1" customWidth="1"/>
    <col min="10" max="10" width="17.6328125" style="1" customWidth="1"/>
    <col min="11" max="11" width="12.6328125" bestFit="1" customWidth="1"/>
    <col min="12" max="12" width="18.453125" bestFit="1" customWidth="1"/>
    <col min="13" max="13" width="11.54296875" style="4" bestFit="1" customWidth="1"/>
    <col min="14" max="14" width="17.08984375" style="5" bestFit="1" customWidth="1"/>
    <col min="15" max="15" width="16.54296875" bestFit="1" customWidth="1"/>
    <col min="16" max="16" width="7.54296875" style="2" bestFit="1" customWidth="1"/>
  </cols>
  <sheetData>
    <row r="1" spans="1:16" x14ac:dyDescent="0.35">
      <c r="A1" t="s">
        <v>6</v>
      </c>
      <c r="B1" t="s">
        <v>36</v>
      </c>
      <c r="C1" t="s">
        <v>37</v>
      </c>
      <c r="D1" t="s">
        <v>44</v>
      </c>
      <c r="E1" t="s">
        <v>4</v>
      </c>
      <c r="F1" t="s">
        <v>5</v>
      </c>
      <c r="G1" t="s">
        <v>35</v>
      </c>
      <c r="H1" t="s">
        <v>1</v>
      </c>
      <c r="I1" t="s">
        <v>2</v>
      </c>
      <c r="J1" t="s">
        <v>34</v>
      </c>
      <c r="K1" t="s">
        <v>3</v>
      </c>
      <c r="L1" t="s">
        <v>33</v>
      </c>
      <c r="M1" t="s">
        <v>12</v>
      </c>
      <c r="N1" t="s">
        <v>13</v>
      </c>
      <c r="O1" t="s">
        <v>49</v>
      </c>
      <c r="P1" t="s">
        <v>0</v>
      </c>
    </row>
    <row r="2" spans="1:16" x14ac:dyDescent="0.35">
      <c r="A2" t="s">
        <v>10</v>
      </c>
      <c r="B2" t="s">
        <v>50</v>
      </c>
      <c r="C2" t="s">
        <v>38</v>
      </c>
      <c r="D2" t="s">
        <v>45</v>
      </c>
      <c r="E2">
        <v>1618.5</v>
      </c>
      <c r="F2">
        <v>3</v>
      </c>
      <c r="G2">
        <v>20</v>
      </c>
      <c r="H2">
        <v>32370</v>
      </c>
      <c r="I2">
        <v>0</v>
      </c>
      <c r="J2">
        <v>32370</v>
      </c>
      <c r="K2">
        <v>16185</v>
      </c>
      <c r="L2">
        <v>16185</v>
      </c>
      <c r="M2">
        <v>41640</v>
      </c>
      <c r="N2">
        <v>1</v>
      </c>
      <c r="O2" t="s">
        <v>21</v>
      </c>
      <c r="P2" t="s">
        <v>15</v>
      </c>
    </row>
    <row r="3" spans="1:16" x14ac:dyDescent="0.35">
      <c r="A3" t="s">
        <v>10</v>
      </c>
      <c r="B3" t="s">
        <v>55</v>
      </c>
      <c r="C3" t="s">
        <v>38</v>
      </c>
      <c r="D3" t="s">
        <v>45</v>
      </c>
      <c r="E3">
        <v>1321</v>
      </c>
      <c r="F3" s="8" t="s">
        <v>62</v>
      </c>
      <c r="G3">
        <v>20</v>
      </c>
      <c r="H3">
        <v>26420</v>
      </c>
      <c r="I3">
        <v>0</v>
      </c>
      <c r="J3">
        <v>26420</v>
      </c>
      <c r="K3">
        <v>13210</v>
      </c>
      <c r="L3">
        <v>13210</v>
      </c>
      <c r="M3">
        <v>41640</v>
      </c>
      <c r="N3">
        <v>1</v>
      </c>
      <c r="O3" t="s">
        <v>21</v>
      </c>
      <c r="P3" t="s">
        <v>15</v>
      </c>
    </row>
    <row r="4" spans="1:16" x14ac:dyDescent="0.35">
      <c r="A4" t="s">
        <v>63</v>
      </c>
      <c r="B4" t="s">
        <v>51</v>
      </c>
      <c r="C4" t="s">
        <v>38</v>
      </c>
      <c r="D4" t="s">
        <v>45</v>
      </c>
      <c r="E4">
        <v>2178</v>
      </c>
      <c r="F4" s="2">
        <v>3</v>
      </c>
      <c r="G4">
        <v>15</v>
      </c>
      <c r="H4">
        <v>32670</v>
      </c>
      <c r="I4"/>
      <c r="J4">
        <v>32670</v>
      </c>
      <c r="K4">
        <v>21780</v>
      </c>
      <c r="L4">
        <v>10890</v>
      </c>
      <c r="M4">
        <v>41791</v>
      </c>
      <c r="N4">
        <v>6</v>
      </c>
      <c r="O4" t="s">
        <v>26</v>
      </c>
      <c r="P4" t="s">
        <v>15</v>
      </c>
    </row>
    <row r="5" spans="1:16" x14ac:dyDescent="0.35">
      <c r="A5" t="s">
        <v>8</v>
      </c>
      <c r="B5" t="s">
        <v>19</v>
      </c>
      <c r="C5" t="s">
        <v>38</v>
      </c>
      <c r="D5" t="s">
        <v>45</v>
      </c>
      <c r="E5">
        <v>888</v>
      </c>
      <c r="F5" s="2">
        <v>3</v>
      </c>
      <c r="G5">
        <v>15</v>
      </c>
      <c r="H5">
        <v>13320</v>
      </c>
      <c r="I5">
        <v>0</v>
      </c>
      <c r="J5">
        <v>13320</v>
      </c>
      <c r="K5">
        <v>8880</v>
      </c>
      <c r="L5">
        <v>4440</v>
      </c>
      <c r="M5">
        <v>41791</v>
      </c>
      <c r="N5">
        <v>6</v>
      </c>
      <c r="O5" t="s">
        <v>26</v>
      </c>
      <c r="P5" t="s">
        <v>15</v>
      </c>
    </row>
    <row r="6" spans="1:16" x14ac:dyDescent="0.35">
      <c r="A6" t="s">
        <v>8</v>
      </c>
      <c r="B6" t="s">
        <v>56</v>
      </c>
      <c r="C6" t="s">
        <v>38</v>
      </c>
      <c r="D6" t="s">
        <v>45</v>
      </c>
      <c r="E6">
        <v>2470</v>
      </c>
      <c r="F6">
        <v>3</v>
      </c>
      <c r="G6">
        <v>15</v>
      </c>
      <c r="H6">
        <v>37050</v>
      </c>
      <c r="I6">
        <v>0</v>
      </c>
      <c r="J6">
        <v>37050</v>
      </c>
      <c r="K6">
        <v>24700</v>
      </c>
      <c r="L6">
        <v>12350</v>
      </c>
      <c r="M6">
        <v>41791</v>
      </c>
      <c r="N6">
        <v>6</v>
      </c>
      <c r="O6" t="s">
        <v>26</v>
      </c>
      <c r="P6" t="s">
        <v>15</v>
      </c>
    </row>
    <row r="7" spans="1:16" x14ac:dyDescent="0.35">
      <c r="C7"/>
      <c r="E7"/>
      <c r="F7"/>
      <c r="G7"/>
      <c r="H7"/>
      <c r="I7"/>
      <c r="J7"/>
      <c r="M7"/>
      <c r="N7"/>
      <c r="P7"/>
    </row>
    <row r="8" spans="1:16" x14ac:dyDescent="0.35">
      <c r="C8"/>
      <c r="E8"/>
      <c r="F8"/>
      <c r="G8"/>
      <c r="H8"/>
      <c r="I8"/>
      <c r="J8"/>
      <c r="M8"/>
      <c r="N8"/>
      <c r="P8"/>
    </row>
    <row r="9" spans="1:16" x14ac:dyDescent="0.35">
      <c r="A9" t="s">
        <v>10</v>
      </c>
      <c r="B9" t="s">
        <v>19</v>
      </c>
      <c r="C9" t="s">
        <v>38</v>
      </c>
      <c r="D9" t="s">
        <v>45</v>
      </c>
      <c r="E9">
        <v>1513</v>
      </c>
      <c r="F9" s="7" t="s">
        <v>62</v>
      </c>
      <c r="G9">
        <v>350</v>
      </c>
      <c r="H9">
        <v>529550</v>
      </c>
      <c r="I9">
        <v>0</v>
      </c>
      <c r="J9">
        <v>529550</v>
      </c>
      <c r="K9">
        <v>393380</v>
      </c>
      <c r="L9">
        <v>136170</v>
      </c>
      <c r="M9">
        <v>41974</v>
      </c>
      <c r="N9">
        <v>12</v>
      </c>
      <c r="O9" t="s">
        <v>32</v>
      </c>
      <c r="P9" t="s">
        <v>15</v>
      </c>
    </row>
    <row r="10" spans="1:16" x14ac:dyDescent="0.35">
      <c r="A10" t="s">
        <v>8</v>
      </c>
      <c r="B10" t="s">
        <v>52</v>
      </c>
      <c r="C10" t="s">
        <v>39</v>
      </c>
      <c r="D10" t="s">
        <v>45</v>
      </c>
      <c r="E10">
        <v>921</v>
      </c>
      <c r="F10" s="2">
        <v>5</v>
      </c>
      <c r="G10">
        <v>15</v>
      </c>
      <c r="H10">
        <v>13815</v>
      </c>
      <c r="I10">
        <v>0</v>
      </c>
      <c r="J10">
        <v>13815</v>
      </c>
      <c r="K10">
        <v>9210</v>
      </c>
      <c r="L10">
        <v>4605</v>
      </c>
      <c r="M10">
        <v>41699</v>
      </c>
      <c r="N10">
        <v>3</v>
      </c>
      <c r="O10" t="s">
        <v>23</v>
      </c>
      <c r="P10" t="s">
        <v>15</v>
      </c>
    </row>
    <row r="11" spans="1:16" x14ac:dyDescent="0.35">
      <c r="A11" t="s">
        <v>11</v>
      </c>
      <c r="B11" t="s">
        <v>57</v>
      </c>
      <c r="C11" t="s">
        <v>39</v>
      </c>
      <c r="D11" t="s">
        <v>45</v>
      </c>
      <c r="E11">
        <v>2518</v>
      </c>
      <c r="F11">
        <v>5</v>
      </c>
      <c r="G11">
        <v>12</v>
      </c>
      <c r="H11">
        <v>30216</v>
      </c>
      <c r="I11"/>
      <c r="J11">
        <v>30216</v>
      </c>
      <c r="K11">
        <v>7554</v>
      </c>
      <c r="L11">
        <v>22662</v>
      </c>
      <c r="M11">
        <v>41791</v>
      </c>
      <c r="N11">
        <v>6</v>
      </c>
      <c r="O11" t="s">
        <v>26</v>
      </c>
      <c r="P11" t="s">
        <v>15</v>
      </c>
    </row>
    <row r="12" spans="1:16" x14ac:dyDescent="0.35">
      <c r="A12" t="s">
        <v>10</v>
      </c>
      <c r="B12" t="s">
        <v>58</v>
      </c>
      <c r="C12" t="s">
        <v>39</v>
      </c>
      <c r="D12" t="s">
        <v>45</v>
      </c>
      <c r="E12">
        <v>1899</v>
      </c>
      <c r="F12">
        <v>5</v>
      </c>
      <c r="G12">
        <v>20</v>
      </c>
      <c r="H12">
        <v>37980</v>
      </c>
      <c r="I12">
        <v>0</v>
      </c>
      <c r="J12">
        <v>37980</v>
      </c>
      <c r="K12">
        <v>18990</v>
      </c>
      <c r="L12">
        <v>18990</v>
      </c>
      <c r="M12">
        <v>41791</v>
      </c>
      <c r="N12">
        <v>6</v>
      </c>
      <c r="O12" t="s">
        <v>26</v>
      </c>
      <c r="P12" t="s">
        <v>15</v>
      </c>
    </row>
    <row r="13" spans="1:16" x14ac:dyDescent="0.35">
      <c r="C13"/>
      <c r="E13"/>
      <c r="F13"/>
      <c r="G13"/>
      <c r="H13"/>
      <c r="I13"/>
      <c r="J13"/>
      <c r="M13"/>
      <c r="N13"/>
      <c r="P13"/>
    </row>
    <row r="14" spans="1:16" x14ac:dyDescent="0.35">
      <c r="A14" t="s">
        <v>11</v>
      </c>
      <c r="B14" t="s">
        <v>54</v>
      </c>
      <c r="C14" t="s">
        <v>39</v>
      </c>
      <c r="D14" t="s">
        <v>45</v>
      </c>
      <c r="E14">
        <v>1545</v>
      </c>
      <c r="F14">
        <v>5</v>
      </c>
      <c r="G14">
        <v>12</v>
      </c>
      <c r="H14">
        <v>18540</v>
      </c>
      <c r="I14"/>
      <c r="J14">
        <v>18540</v>
      </c>
      <c r="K14">
        <v>4635</v>
      </c>
      <c r="L14">
        <v>13905</v>
      </c>
      <c r="M14">
        <v>41791</v>
      </c>
      <c r="N14">
        <v>6</v>
      </c>
      <c r="O14" t="s">
        <v>26</v>
      </c>
      <c r="P14" t="s">
        <v>15</v>
      </c>
    </row>
    <row r="15" spans="1:16" x14ac:dyDescent="0.35">
      <c r="A15" t="s">
        <v>8</v>
      </c>
      <c r="B15" t="s">
        <v>20</v>
      </c>
      <c r="C15" t="s">
        <v>39</v>
      </c>
      <c r="D15" t="s">
        <v>45</v>
      </c>
      <c r="E15">
        <v>2470</v>
      </c>
      <c r="F15">
        <v>5</v>
      </c>
      <c r="G15">
        <v>15</v>
      </c>
      <c r="H15">
        <v>37050</v>
      </c>
      <c r="I15"/>
      <c r="J15">
        <v>37050</v>
      </c>
      <c r="K15">
        <v>24700</v>
      </c>
      <c r="L15">
        <v>12350</v>
      </c>
      <c r="M15">
        <v>41791</v>
      </c>
      <c r="N15">
        <v>6</v>
      </c>
      <c r="O15" t="s">
        <v>26</v>
      </c>
      <c r="P15" t="s">
        <v>15</v>
      </c>
    </row>
    <row r="16" spans="1:16" x14ac:dyDescent="0.35">
      <c r="A16" t="s">
        <v>9</v>
      </c>
      <c r="B16" t="s">
        <v>16</v>
      </c>
      <c r="C16" t="s">
        <v>39</v>
      </c>
      <c r="D16" t="s">
        <v>45</v>
      </c>
      <c r="E16">
        <v>2665.5</v>
      </c>
      <c r="F16">
        <v>5</v>
      </c>
      <c r="G16">
        <v>125</v>
      </c>
      <c r="H16">
        <v>333187.5</v>
      </c>
      <c r="I16">
        <v>0</v>
      </c>
      <c r="J16">
        <v>333187.5</v>
      </c>
      <c r="K16">
        <v>319860</v>
      </c>
      <c r="L16">
        <v>13327.5</v>
      </c>
      <c r="M16">
        <v>41821</v>
      </c>
      <c r="N16">
        <v>7</v>
      </c>
      <c r="O16" t="s">
        <v>27</v>
      </c>
      <c r="P16" t="s">
        <v>15</v>
      </c>
    </row>
    <row r="17" spans="1:16" x14ac:dyDescent="0.35">
      <c r="A17" t="s">
        <v>7</v>
      </c>
      <c r="B17" t="s">
        <v>60</v>
      </c>
      <c r="C17" t="s">
        <v>39</v>
      </c>
      <c r="D17" t="s">
        <v>45</v>
      </c>
      <c r="E17">
        <v>958</v>
      </c>
      <c r="F17">
        <v>5</v>
      </c>
      <c r="G17">
        <v>300</v>
      </c>
      <c r="H17">
        <v>287400</v>
      </c>
      <c r="I17"/>
      <c r="J17">
        <v>287400</v>
      </c>
      <c r="K17">
        <v>239500</v>
      </c>
      <c r="L17">
        <v>47900</v>
      </c>
      <c r="M17">
        <v>41852</v>
      </c>
      <c r="N17">
        <v>8</v>
      </c>
      <c r="O17" t="s">
        <v>28</v>
      </c>
      <c r="P17" t="s">
        <v>15</v>
      </c>
    </row>
    <row r="18" spans="1:16" x14ac:dyDescent="0.35">
      <c r="A18" t="s">
        <v>10</v>
      </c>
      <c r="B18" t="s">
        <v>19</v>
      </c>
      <c r="C18" t="s">
        <v>39</v>
      </c>
      <c r="D18" t="s">
        <v>45</v>
      </c>
      <c r="E18">
        <v>2146</v>
      </c>
      <c r="F18">
        <v>5</v>
      </c>
      <c r="G18">
        <v>7</v>
      </c>
      <c r="H18">
        <v>15022</v>
      </c>
      <c r="I18">
        <v>0</v>
      </c>
      <c r="J18">
        <v>15022</v>
      </c>
      <c r="K18">
        <v>10730</v>
      </c>
      <c r="L18">
        <v>4292</v>
      </c>
      <c r="M18">
        <v>41883</v>
      </c>
      <c r="N18">
        <v>9</v>
      </c>
      <c r="O18" t="s">
        <v>29</v>
      </c>
      <c r="P18" t="s">
        <v>15</v>
      </c>
    </row>
    <row r="19" spans="1:16" x14ac:dyDescent="0.35">
      <c r="A19" t="s">
        <v>9</v>
      </c>
      <c r="B19" t="s">
        <v>16</v>
      </c>
      <c r="C19" t="s">
        <v>39</v>
      </c>
      <c r="D19" t="s">
        <v>45</v>
      </c>
      <c r="E19">
        <v>345</v>
      </c>
      <c r="F19">
        <v>5</v>
      </c>
      <c r="G19">
        <v>125</v>
      </c>
      <c r="H19">
        <v>43125</v>
      </c>
      <c r="I19"/>
      <c r="J19">
        <v>43125</v>
      </c>
      <c r="K19">
        <v>41400</v>
      </c>
      <c r="L19">
        <v>1725</v>
      </c>
      <c r="M19">
        <v>41548</v>
      </c>
      <c r="N19">
        <v>10</v>
      </c>
      <c r="O19" t="s">
        <v>30</v>
      </c>
      <c r="P19" t="s">
        <v>14</v>
      </c>
    </row>
    <row r="20" spans="1:16" x14ac:dyDescent="0.35">
      <c r="C20"/>
      <c r="E20"/>
      <c r="F20"/>
      <c r="G20"/>
      <c r="H20"/>
      <c r="I20"/>
      <c r="J20"/>
      <c r="M20"/>
      <c r="N20"/>
      <c r="P20"/>
    </row>
    <row r="21" spans="1:16" ht="29" x14ac:dyDescent="0.35">
      <c r="A21" t="s">
        <v>8</v>
      </c>
      <c r="B21" s="6" t="s">
        <v>61</v>
      </c>
      <c r="C21" t="s">
        <v>39</v>
      </c>
      <c r="D21" t="s">
        <v>45</v>
      </c>
      <c r="E21">
        <v>615</v>
      </c>
      <c r="F21">
        <v>5</v>
      </c>
      <c r="G21">
        <v>15</v>
      </c>
      <c r="H21">
        <v>9225</v>
      </c>
      <c r="I21">
        <v>0</v>
      </c>
      <c r="J21">
        <v>9225</v>
      </c>
      <c r="K21">
        <v>6150</v>
      </c>
      <c r="L21">
        <v>3075</v>
      </c>
      <c r="M21">
        <v>41974</v>
      </c>
      <c r="N21">
        <v>12</v>
      </c>
      <c r="O21" t="s">
        <v>32</v>
      </c>
      <c r="P21" t="s">
        <v>15</v>
      </c>
    </row>
    <row r="22" spans="1:16" x14ac:dyDescent="0.35">
      <c r="A22" t="s">
        <v>10</v>
      </c>
      <c r="B22" t="s">
        <v>16</v>
      </c>
      <c r="C22" t="s">
        <v>40</v>
      </c>
      <c r="D22" t="s">
        <v>45</v>
      </c>
      <c r="E22">
        <v>292</v>
      </c>
      <c r="F22">
        <v>10</v>
      </c>
      <c r="G22">
        <v>20</v>
      </c>
      <c r="H22">
        <v>5840</v>
      </c>
      <c r="I22">
        <v>0</v>
      </c>
      <c r="J22">
        <v>5840</v>
      </c>
      <c r="K22">
        <v>2920</v>
      </c>
      <c r="L22">
        <v>2920</v>
      </c>
      <c r="M22">
        <v>41671</v>
      </c>
      <c r="N22">
        <v>2</v>
      </c>
      <c r="O22" t="s">
        <v>22</v>
      </c>
      <c r="P22" t="s">
        <v>15</v>
      </c>
    </row>
    <row r="23" spans="1:16" x14ac:dyDescent="0.35">
      <c r="A23" t="s">
        <v>8</v>
      </c>
      <c r="B23" t="s">
        <v>53</v>
      </c>
      <c r="C23" t="s">
        <v>40</v>
      </c>
      <c r="D23" t="s">
        <v>45</v>
      </c>
      <c r="E23">
        <v>974</v>
      </c>
      <c r="F23">
        <v>10</v>
      </c>
      <c r="G23">
        <v>15</v>
      </c>
      <c r="H23">
        <v>14610</v>
      </c>
      <c r="I23"/>
      <c r="J23">
        <v>14610</v>
      </c>
      <c r="K23">
        <v>9740</v>
      </c>
      <c r="L23">
        <v>4870</v>
      </c>
      <c r="M23">
        <v>41671</v>
      </c>
      <c r="N23">
        <v>2</v>
      </c>
      <c r="O23" t="s">
        <v>22</v>
      </c>
      <c r="P23" t="s">
        <v>15</v>
      </c>
    </row>
    <row r="24" spans="1:16" x14ac:dyDescent="0.35">
      <c r="C24"/>
      <c r="E24"/>
      <c r="F24"/>
      <c r="G24"/>
      <c r="H24"/>
      <c r="I24"/>
      <c r="J24"/>
      <c r="M24"/>
      <c r="N24"/>
      <c r="P24"/>
    </row>
    <row r="25" spans="1:16" x14ac:dyDescent="0.35">
      <c r="A25" t="s">
        <v>11</v>
      </c>
      <c r="B25" t="s">
        <v>59</v>
      </c>
      <c r="C25" t="s">
        <v>40</v>
      </c>
      <c r="D25" t="s">
        <v>45</v>
      </c>
      <c r="E25">
        <v>2518</v>
      </c>
      <c r="F25">
        <v>10</v>
      </c>
      <c r="G25">
        <v>12</v>
      </c>
      <c r="H25">
        <v>30216</v>
      </c>
      <c r="I25">
        <v>0</v>
      </c>
      <c r="J25">
        <v>30216</v>
      </c>
      <c r="K25">
        <v>7554</v>
      </c>
      <c r="L25">
        <v>22662</v>
      </c>
      <c r="M25">
        <v>41791</v>
      </c>
      <c r="N25">
        <v>6</v>
      </c>
      <c r="O25" t="s">
        <v>26</v>
      </c>
      <c r="P25" t="s">
        <v>15</v>
      </c>
    </row>
    <row r="26" spans="1:16" x14ac:dyDescent="0.35">
      <c r="A26" t="s">
        <v>10</v>
      </c>
      <c r="B26" t="s">
        <v>19</v>
      </c>
      <c r="C26" t="s">
        <v>40</v>
      </c>
      <c r="D26" t="s">
        <v>45</v>
      </c>
      <c r="E26">
        <v>1006</v>
      </c>
      <c r="F26">
        <v>10</v>
      </c>
      <c r="G26">
        <v>350</v>
      </c>
      <c r="H26">
        <v>352100</v>
      </c>
      <c r="I26">
        <v>0</v>
      </c>
      <c r="J26">
        <v>352100</v>
      </c>
      <c r="K26">
        <v>261560</v>
      </c>
      <c r="L26">
        <v>90540</v>
      </c>
      <c r="M26">
        <v>41791</v>
      </c>
      <c r="N26">
        <v>6</v>
      </c>
      <c r="O26" t="s">
        <v>26</v>
      </c>
      <c r="P26" t="s">
        <v>15</v>
      </c>
    </row>
    <row r="27" spans="1:16" x14ac:dyDescent="0.35">
      <c r="A27" t="s">
        <v>11</v>
      </c>
      <c r="B27" t="s">
        <v>19</v>
      </c>
      <c r="C27" t="s">
        <v>40</v>
      </c>
      <c r="D27" t="s">
        <v>45</v>
      </c>
      <c r="E27">
        <v>367</v>
      </c>
      <c r="F27">
        <v>10</v>
      </c>
      <c r="G27">
        <v>12</v>
      </c>
      <c r="H27">
        <v>4404</v>
      </c>
      <c r="I27">
        <v>0</v>
      </c>
      <c r="J27">
        <v>4404</v>
      </c>
      <c r="K27">
        <v>1101</v>
      </c>
      <c r="L27">
        <v>3303</v>
      </c>
      <c r="M27">
        <v>41821</v>
      </c>
      <c r="N27">
        <v>7</v>
      </c>
      <c r="O27" t="s">
        <v>27</v>
      </c>
      <c r="P27" t="s">
        <v>15</v>
      </c>
    </row>
    <row r="28" spans="1:16" x14ac:dyDescent="0.35">
      <c r="A28" t="s">
        <v>10</v>
      </c>
      <c r="B28" t="s">
        <v>20</v>
      </c>
      <c r="C28" t="s">
        <v>40</v>
      </c>
      <c r="D28" t="s">
        <v>45</v>
      </c>
      <c r="E28">
        <v>883</v>
      </c>
      <c r="F28">
        <v>10</v>
      </c>
      <c r="G28">
        <v>7</v>
      </c>
      <c r="H28">
        <v>6181</v>
      </c>
      <c r="I28">
        <v>0</v>
      </c>
      <c r="J28">
        <v>6181</v>
      </c>
      <c r="K28">
        <v>4415</v>
      </c>
      <c r="L28">
        <v>1766</v>
      </c>
      <c r="M28">
        <v>41852</v>
      </c>
      <c r="N28">
        <v>8</v>
      </c>
      <c r="O28" t="s">
        <v>28</v>
      </c>
      <c r="P28" t="s">
        <v>15</v>
      </c>
    </row>
    <row r="29" spans="1:16" x14ac:dyDescent="0.35">
      <c r="C29"/>
      <c r="E29"/>
      <c r="F29"/>
      <c r="G29"/>
      <c r="H29"/>
      <c r="I29"/>
      <c r="J29"/>
      <c r="M29"/>
      <c r="N29"/>
      <c r="P29"/>
    </row>
    <row r="30" spans="1:16" x14ac:dyDescent="0.35">
      <c r="A30" t="s">
        <v>8</v>
      </c>
      <c r="B30" t="s">
        <v>18</v>
      </c>
      <c r="C30" t="s">
        <v>40</v>
      </c>
      <c r="D30" t="s">
        <v>45</v>
      </c>
      <c r="E30">
        <v>549</v>
      </c>
      <c r="F30">
        <v>10</v>
      </c>
      <c r="G30">
        <v>15</v>
      </c>
      <c r="H30">
        <v>8235</v>
      </c>
      <c r="I30">
        <v>0</v>
      </c>
      <c r="J30">
        <v>8235</v>
      </c>
      <c r="K30">
        <v>5490</v>
      </c>
      <c r="L30">
        <v>2745</v>
      </c>
      <c r="M30">
        <v>41518</v>
      </c>
      <c r="N30">
        <v>9</v>
      </c>
      <c r="O30" t="s">
        <v>29</v>
      </c>
      <c r="P30" t="s">
        <v>14</v>
      </c>
    </row>
    <row r="31" spans="1:16" x14ac:dyDescent="0.35">
      <c r="A31" t="s">
        <v>7</v>
      </c>
      <c r="B31" t="s">
        <v>20</v>
      </c>
      <c r="C31" t="s">
        <v>40</v>
      </c>
      <c r="D31" t="s">
        <v>45</v>
      </c>
      <c r="E31">
        <v>788</v>
      </c>
      <c r="F31">
        <v>10</v>
      </c>
      <c r="G31">
        <v>300</v>
      </c>
      <c r="H31">
        <v>236400</v>
      </c>
      <c r="I31">
        <v>0</v>
      </c>
      <c r="J31">
        <v>236400</v>
      </c>
      <c r="K31">
        <v>197000</v>
      </c>
      <c r="L31">
        <v>39400</v>
      </c>
      <c r="M31">
        <v>41518</v>
      </c>
      <c r="N31">
        <v>9</v>
      </c>
      <c r="O31" t="s">
        <v>29</v>
      </c>
      <c r="P31" t="s">
        <v>14</v>
      </c>
    </row>
    <row r="32" spans="1:16" x14ac:dyDescent="0.35">
      <c r="A32" t="s">
        <v>8</v>
      </c>
      <c r="B32" t="s">
        <v>20</v>
      </c>
      <c r="C32" t="s">
        <v>40</v>
      </c>
      <c r="D32" t="s">
        <v>45</v>
      </c>
      <c r="E32">
        <v>2472</v>
      </c>
      <c r="F32">
        <v>10</v>
      </c>
      <c r="G32">
        <v>15</v>
      </c>
      <c r="H32">
        <v>37080</v>
      </c>
      <c r="I32">
        <v>0</v>
      </c>
      <c r="J32">
        <v>37080</v>
      </c>
      <c r="K32">
        <v>24720</v>
      </c>
      <c r="L32">
        <v>12360</v>
      </c>
      <c r="M32">
        <v>41883</v>
      </c>
      <c r="N32">
        <v>9</v>
      </c>
      <c r="O32" t="s">
        <v>29</v>
      </c>
      <c r="P32" t="s">
        <v>15</v>
      </c>
    </row>
    <row r="33" spans="1:16" ht="29" x14ac:dyDescent="0.35">
      <c r="A33" t="s">
        <v>10</v>
      </c>
      <c r="B33" s="6" t="s">
        <v>61</v>
      </c>
      <c r="C33" t="s">
        <v>40</v>
      </c>
      <c r="D33" t="s">
        <v>45</v>
      </c>
      <c r="E33">
        <v>1143</v>
      </c>
      <c r="F33">
        <v>10</v>
      </c>
      <c r="G33">
        <v>7</v>
      </c>
      <c r="H33">
        <v>8001</v>
      </c>
      <c r="I33">
        <v>0</v>
      </c>
      <c r="J33">
        <v>8001</v>
      </c>
      <c r="K33">
        <v>5715</v>
      </c>
      <c r="L33">
        <v>2286</v>
      </c>
      <c r="M33">
        <v>41913</v>
      </c>
      <c r="N33">
        <v>10</v>
      </c>
      <c r="O33" t="s">
        <v>30</v>
      </c>
      <c r="P33" t="s">
        <v>15</v>
      </c>
    </row>
    <row r="34" spans="1:16" x14ac:dyDescent="0.35">
      <c r="C34"/>
      <c r="E34"/>
      <c r="F34"/>
      <c r="G34"/>
      <c r="H34"/>
      <c r="I34"/>
      <c r="J34"/>
      <c r="M34"/>
      <c r="N34"/>
      <c r="P34"/>
    </row>
    <row r="35" spans="1:16" x14ac:dyDescent="0.35">
      <c r="A35" t="s">
        <v>10</v>
      </c>
      <c r="B35" t="s">
        <v>16</v>
      </c>
      <c r="C35" t="s">
        <v>40</v>
      </c>
      <c r="D35" t="s">
        <v>45</v>
      </c>
      <c r="E35">
        <v>1725</v>
      </c>
      <c r="F35">
        <v>10</v>
      </c>
      <c r="G35">
        <v>350</v>
      </c>
      <c r="H35">
        <v>603750</v>
      </c>
      <c r="I35">
        <v>0</v>
      </c>
      <c r="J35">
        <v>603750</v>
      </c>
      <c r="K35">
        <v>448500</v>
      </c>
      <c r="L35">
        <v>155250</v>
      </c>
      <c r="M35">
        <v>41579</v>
      </c>
      <c r="N35">
        <v>11</v>
      </c>
      <c r="O35" t="s">
        <v>31</v>
      </c>
      <c r="P35" t="s">
        <v>14</v>
      </c>
    </row>
    <row r="36" spans="1:16" x14ac:dyDescent="0.35">
      <c r="A36" t="s">
        <v>11</v>
      </c>
      <c r="B36" t="s">
        <v>17</v>
      </c>
      <c r="C36" t="s">
        <v>40</v>
      </c>
      <c r="D36" t="s">
        <v>45</v>
      </c>
      <c r="E36">
        <v>912</v>
      </c>
      <c r="F36">
        <v>10</v>
      </c>
      <c r="G36">
        <v>12</v>
      </c>
      <c r="H36">
        <v>10944</v>
      </c>
      <c r="I36">
        <v>0</v>
      </c>
      <c r="J36">
        <v>10944</v>
      </c>
      <c r="K36">
        <v>2736</v>
      </c>
      <c r="L36">
        <v>8208</v>
      </c>
      <c r="M36">
        <v>41579</v>
      </c>
      <c r="N36">
        <v>11</v>
      </c>
      <c r="O36" t="s">
        <v>31</v>
      </c>
      <c r="P36" t="s">
        <v>14</v>
      </c>
    </row>
    <row r="37" spans="1:16" x14ac:dyDescent="0.35">
      <c r="A37" t="s">
        <v>8</v>
      </c>
      <c r="B37" t="s">
        <v>16</v>
      </c>
      <c r="C37" t="s">
        <v>40</v>
      </c>
      <c r="D37" t="s">
        <v>45</v>
      </c>
      <c r="E37">
        <v>2152</v>
      </c>
      <c r="F37">
        <v>10</v>
      </c>
      <c r="G37">
        <v>15</v>
      </c>
      <c r="H37">
        <v>32280</v>
      </c>
      <c r="I37">
        <v>0</v>
      </c>
      <c r="J37">
        <v>32280</v>
      </c>
      <c r="K37">
        <v>21520</v>
      </c>
      <c r="L37">
        <v>10760</v>
      </c>
      <c r="M37">
        <v>41609</v>
      </c>
      <c r="N37">
        <v>12</v>
      </c>
      <c r="O37" t="s">
        <v>32</v>
      </c>
      <c r="P37" t="s">
        <v>14</v>
      </c>
    </row>
    <row r="38" spans="1:16" x14ac:dyDescent="0.35">
      <c r="A38" t="s">
        <v>10</v>
      </c>
      <c r="B38" t="s">
        <v>16</v>
      </c>
      <c r="C38" t="s">
        <v>40</v>
      </c>
      <c r="D38" t="s">
        <v>45</v>
      </c>
      <c r="E38">
        <v>1817</v>
      </c>
      <c r="F38">
        <v>10</v>
      </c>
      <c r="G38">
        <v>20</v>
      </c>
      <c r="H38">
        <v>36340</v>
      </c>
      <c r="I38">
        <v>0</v>
      </c>
      <c r="J38">
        <v>36340</v>
      </c>
      <c r="K38">
        <v>18170</v>
      </c>
      <c r="L38">
        <v>18170</v>
      </c>
      <c r="M38">
        <v>41974</v>
      </c>
      <c r="N38">
        <v>12</v>
      </c>
      <c r="O38" t="s">
        <v>32</v>
      </c>
      <c r="P38" t="s">
        <v>15</v>
      </c>
    </row>
    <row r="39" spans="1:16" x14ac:dyDescent="0.35">
      <c r="A39" t="s">
        <v>10</v>
      </c>
      <c r="B39" t="s">
        <v>19</v>
      </c>
      <c r="C39" t="s">
        <v>40</v>
      </c>
      <c r="D39" t="s">
        <v>45</v>
      </c>
      <c r="E39">
        <v>1513</v>
      </c>
      <c r="F39">
        <v>10</v>
      </c>
      <c r="G39">
        <v>350</v>
      </c>
      <c r="H39">
        <v>529550</v>
      </c>
      <c r="I39">
        <v>0</v>
      </c>
      <c r="J39">
        <v>529550</v>
      </c>
      <c r="K39">
        <v>393380</v>
      </c>
      <c r="L39">
        <v>136170</v>
      </c>
      <c r="M39">
        <v>41974</v>
      </c>
      <c r="N39">
        <v>12</v>
      </c>
      <c r="O39" t="s">
        <v>32</v>
      </c>
      <c r="P39" t="s">
        <v>15</v>
      </c>
    </row>
    <row r="40" spans="1:16" x14ac:dyDescent="0.35">
      <c r="A40" t="s">
        <v>10</v>
      </c>
      <c r="B40" t="s">
        <v>20</v>
      </c>
      <c r="C40" t="s">
        <v>41</v>
      </c>
      <c r="D40" t="s">
        <v>45</v>
      </c>
      <c r="E40">
        <v>1493</v>
      </c>
      <c r="F40">
        <v>120</v>
      </c>
      <c r="G40">
        <v>7</v>
      </c>
      <c r="H40">
        <v>10451</v>
      </c>
      <c r="I40">
        <v>0</v>
      </c>
      <c r="J40">
        <v>10451</v>
      </c>
      <c r="K40">
        <v>7465</v>
      </c>
      <c r="L40">
        <v>2986</v>
      </c>
      <c r="M40">
        <v>41640</v>
      </c>
      <c r="N40">
        <v>1</v>
      </c>
      <c r="O40" t="s">
        <v>21</v>
      </c>
      <c r="P40" t="s">
        <v>15</v>
      </c>
    </row>
    <row r="41" spans="1:16" x14ac:dyDescent="0.35">
      <c r="A41" t="s">
        <v>9</v>
      </c>
      <c r="B41" t="s">
        <v>18</v>
      </c>
      <c r="C41" t="s">
        <v>41</v>
      </c>
      <c r="D41" t="s">
        <v>45</v>
      </c>
      <c r="E41">
        <v>1804</v>
      </c>
      <c r="F41">
        <v>120</v>
      </c>
      <c r="G41">
        <v>125</v>
      </c>
      <c r="H41">
        <v>225500</v>
      </c>
      <c r="I41">
        <v>0</v>
      </c>
      <c r="J41">
        <v>225500</v>
      </c>
      <c r="K41">
        <v>216480</v>
      </c>
      <c r="L41">
        <v>9020</v>
      </c>
      <c r="M41">
        <v>41671</v>
      </c>
      <c r="N41">
        <v>2</v>
      </c>
      <c r="O41" t="s">
        <v>22</v>
      </c>
      <c r="P41" t="s">
        <v>15</v>
      </c>
    </row>
    <row r="42" spans="1:16" x14ac:dyDescent="0.35">
      <c r="A42" t="s">
        <v>11</v>
      </c>
      <c r="B42" t="s">
        <v>19</v>
      </c>
      <c r="C42" t="s">
        <v>41</v>
      </c>
      <c r="D42" t="s">
        <v>45</v>
      </c>
      <c r="E42">
        <v>2161</v>
      </c>
      <c r="F42">
        <v>120</v>
      </c>
      <c r="G42">
        <v>12</v>
      </c>
      <c r="H42">
        <v>25932</v>
      </c>
      <c r="I42">
        <v>0</v>
      </c>
      <c r="J42">
        <v>25932</v>
      </c>
      <c r="K42">
        <v>6483</v>
      </c>
      <c r="L42">
        <v>19449</v>
      </c>
      <c r="M42">
        <v>41699</v>
      </c>
      <c r="N42">
        <v>3</v>
      </c>
      <c r="O42" t="s">
        <v>23</v>
      </c>
      <c r="P42" t="s">
        <v>15</v>
      </c>
    </row>
    <row r="43" spans="1:16" x14ac:dyDescent="0.35">
      <c r="A43" t="s">
        <v>10</v>
      </c>
      <c r="B43" t="s">
        <v>19</v>
      </c>
      <c r="C43" t="s">
        <v>41</v>
      </c>
      <c r="D43" t="s">
        <v>45</v>
      </c>
      <c r="E43">
        <v>1006</v>
      </c>
      <c r="F43">
        <v>120</v>
      </c>
      <c r="G43">
        <v>350</v>
      </c>
      <c r="H43">
        <v>352100</v>
      </c>
      <c r="I43">
        <v>0</v>
      </c>
      <c r="J43">
        <v>352100</v>
      </c>
      <c r="K43">
        <v>261560</v>
      </c>
      <c r="L43">
        <v>90540</v>
      </c>
      <c r="M43">
        <v>41791</v>
      </c>
      <c r="N43">
        <v>6</v>
      </c>
      <c r="O43" t="s">
        <v>26</v>
      </c>
      <c r="P43" t="s">
        <v>15</v>
      </c>
    </row>
    <row r="44" spans="1:16" x14ac:dyDescent="0.35">
      <c r="A44" t="s">
        <v>11</v>
      </c>
      <c r="B44" t="s">
        <v>19</v>
      </c>
      <c r="C44" t="s">
        <v>41</v>
      </c>
      <c r="D44" t="s">
        <v>45</v>
      </c>
      <c r="E44">
        <v>1545</v>
      </c>
      <c r="F44">
        <v>120</v>
      </c>
      <c r="G44">
        <v>12</v>
      </c>
      <c r="H44">
        <v>18540</v>
      </c>
      <c r="I44">
        <v>0</v>
      </c>
      <c r="J44">
        <v>18540</v>
      </c>
      <c r="K44">
        <v>4635</v>
      </c>
      <c r="L44">
        <v>13905</v>
      </c>
      <c r="M44">
        <v>41791</v>
      </c>
      <c r="N44">
        <v>6</v>
      </c>
      <c r="O44" t="s">
        <v>26</v>
      </c>
      <c r="P44" t="s">
        <v>15</v>
      </c>
    </row>
    <row r="45" spans="1:16" x14ac:dyDescent="0.35">
      <c r="A45" t="s">
        <v>9</v>
      </c>
      <c r="B45" t="s">
        <v>17</v>
      </c>
      <c r="C45" t="s">
        <v>41</v>
      </c>
      <c r="D45" t="s">
        <v>45</v>
      </c>
      <c r="E45">
        <v>2821</v>
      </c>
      <c r="F45">
        <v>120</v>
      </c>
      <c r="G45">
        <v>125</v>
      </c>
      <c r="H45">
        <v>352625</v>
      </c>
      <c r="I45">
        <v>0</v>
      </c>
      <c r="J45">
        <v>352625</v>
      </c>
      <c r="K45">
        <v>338520</v>
      </c>
      <c r="L45">
        <v>14105</v>
      </c>
      <c r="M45">
        <v>41852</v>
      </c>
      <c r="N45">
        <v>8</v>
      </c>
      <c r="O45" t="s">
        <v>28</v>
      </c>
      <c r="P45" t="s">
        <v>15</v>
      </c>
    </row>
    <row r="46" spans="1:16" x14ac:dyDescent="0.35">
      <c r="A46" t="s">
        <v>9</v>
      </c>
      <c r="B46" t="s">
        <v>16</v>
      </c>
      <c r="C46" t="s">
        <v>41</v>
      </c>
      <c r="D46" t="s">
        <v>45</v>
      </c>
      <c r="E46">
        <v>345</v>
      </c>
      <c r="F46">
        <v>120</v>
      </c>
      <c r="G46">
        <v>125</v>
      </c>
      <c r="H46">
        <v>43125</v>
      </c>
      <c r="I46">
        <v>0</v>
      </c>
      <c r="J46">
        <v>43125</v>
      </c>
      <c r="K46">
        <v>41400</v>
      </c>
      <c r="L46">
        <v>1725</v>
      </c>
      <c r="M46">
        <v>41548</v>
      </c>
      <c r="N46">
        <v>10</v>
      </c>
      <c r="O46" t="s">
        <v>30</v>
      </c>
      <c r="P46" t="s">
        <v>14</v>
      </c>
    </row>
    <row r="47" spans="1:16" x14ac:dyDescent="0.35">
      <c r="A47" t="s">
        <v>7</v>
      </c>
      <c r="B47" t="s">
        <v>16</v>
      </c>
      <c r="C47" t="s">
        <v>42</v>
      </c>
      <c r="D47" t="s">
        <v>45</v>
      </c>
      <c r="E47">
        <v>2001</v>
      </c>
      <c r="F47">
        <v>250</v>
      </c>
      <c r="G47">
        <v>300</v>
      </c>
      <c r="H47">
        <v>600300</v>
      </c>
      <c r="I47">
        <v>0</v>
      </c>
      <c r="J47">
        <v>600300</v>
      </c>
      <c r="K47">
        <v>500250</v>
      </c>
      <c r="L47">
        <v>100050</v>
      </c>
      <c r="M47">
        <v>41671</v>
      </c>
      <c r="N47">
        <v>2</v>
      </c>
      <c r="O47" t="s">
        <v>22</v>
      </c>
      <c r="P47" t="s">
        <v>15</v>
      </c>
    </row>
    <row r="48" spans="1:16" x14ac:dyDescent="0.35">
      <c r="A48" t="s">
        <v>11</v>
      </c>
      <c r="B48" t="s">
        <v>19</v>
      </c>
      <c r="C48" t="s">
        <v>42</v>
      </c>
      <c r="D48" t="s">
        <v>45</v>
      </c>
      <c r="E48">
        <v>2838</v>
      </c>
      <c r="F48">
        <v>250</v>
      </c>
      <c r="G48">
        <v>12</v>
      </c>
      <c r="H48">
        <v>34056</v>
      </c>
      <c r="I48">
        <v>0</v>
      </c>
      <c r="J48">
        <v>34056</v>
      </c>
      <c r="K48">
        <v>8514</v>
      </c>
      <c r="L48">
        <v>25542</v>
      </c>
      <c r="M48">
        <v>41730</v>
      </c>
      <c r="N48">
        <v>4</v>
      </c>
      <c r="O48" t="s">
        <v>24</v>
      </c>
      <c r="P48" t="s">
        <v>15</v>
      </c>
    </row>
    <row r="49" spans="1:16" x14ac:dyDescent="0.35">
      <c r="A49" t="s">
        <v>8</v>
      </c>
      <c r="B49" t="s">
        <v>18</v>
      </c>
      <c r="C49" t="s">
        <v>42</v>
      </c>
      <c r="D49" t="s">
        <v>45</v>
      </c>
      <c r="E49">
        <v>2178</v>
      </c>
      <c r="F49">
        <v>250</v>
      </c>
      <c r="G49">
        <v>15</v>
      </c>
      <c r="H49">
        <v>32670</v>
      </c>
      <c r="I49">
        <v>0</v>
      </c>
      <c r="J49">
        <v>32670</v>
      </c>
      <c r="K49">
        <v>21780</v>
      </c>
      <c r="L49">
        <v>10890</v>
      </c>
      <c r="M49">
        <v>41791</v>
      </c>
      <c r="N49">
        <v>6</v>
      </c>
      <c r="O49" t="s">
        <v>26</v>
      </c>
      <c r="P49" t="s">
        <v>15</v>
      </c>
    </row>
    <row r="50" spans="1:16" x14ac:dyDescent="0.35">
      <c r="A50" t="s">
        <v>8</v>
      </c>
      <c r="B50" t="s">
        <v>19</v>
      </c>
      <c r="C50" t="s">
        <v>42</v>
      </c>
      <c r="D50" t="s">
        <v>45</v>
      </c>
      <c r="E50">
        <v>888</v>
      </c>
      <c r="F50">
        <v>250</v>
      </c>
      <c r="G50">
        <v>15</v>
      </c>
      <c r="H50">
        <v>13320</v>
      </c>
      <c r="I50">
        <v>0</v>
      </c>
      <c r="J50">
        <v>13320</v>
      </c>
      <c r="K50">
        <v>8880</v>
      </c>
      <c r="L50">
        <v>4440</v>
      </c>
      <c r="M50">
        <v>41791</v>
      </c>
      <c r="N50">
        <v>6</v>
      </c>
      <c r="O50" t="s">
        <v>26</v>
      </c>
      <c r="P50" t="s">
        <v>15</v>
      </c>
    </row>
    <row r="51" spans="1:16" x14ac:dyDescent="0.35">
      <c r="A51" t="s">
        <v>10</v>
      </c>
      <c r="B51" t="s">
        <v>18</v>
      </c>
      <c r="C51" t="s">
        <v>42</v>
      </c>
      <c r="D51" t="s">
        <v>45</v>
      </c>
      <c r="E51">
        <v>1527</v>
      </c>
      <c r="F51">
        <v>250</v>
      </c>
      <c r="G51">
        <v>350</v>
      </c>
      <c r="H51">
        <v>534450</v>
      </c>
      <c r="I51">
        <v>0</v>
      </c>
      <c r="J51">
        <v>534450</v>
      </c>
      <c r="K51">
        <v>397020</v>
      </c>
      <c r="L51">
        <v>137430</v>
      </c>
      <c r="M51">
        <v>41518</v>
      </c>
      <c r="N51">
        <v>9</v>
      </c>
      <c r="O51" t="s">
        <v>29</v>
      </c>
      <c r="P51" t="s">
        <v>14</v>
      </c>
    </row>
    <row r="52" spans="1:16" x14ac:dyDescent="0.35">
      <c r="A52" t="s">
        <v>7</v>
      </c>
      <c r="B52" t="s">
        <v>18</v>
      </c>
      <c r="C52" t="s">
        <v>42</v>
      </c>
      <c r="D52" t="s">
        <v>45</v>
      </c>
      <c r="E52">
        <v>2151</v>
      </c>
      <c r="F52">
        <v>250</v>
      </c>
      <c r="G52">
        <v>300</v>
      </c>
      <c r="H52">
        <v>645300</v>
      </c>
      <c r="I52">
        <v>0</v>
      </c>
      <c r="J52">
        <v>645300</v>
      </c>
      <c r="K52">
        <v>537750</v>
      </c>
      <c r="L52">
        <v>107550</v>
      </c>
      <c r="M52">
        <v>41883</v>
      </c>
      <c r="N52">
        <v>9</v>
      </c>
      <c r="O52" t="s">
        <v>29</v>
      </c>
      <c r="P52" t="s">
        <v>15</v>
      </c>
    </row>
    <row r="53" spans="1:16" x14ac:dyDescent="0.35">
      <c r="A53" t="s">
        <v>10</v>
      </c>
      <c r="B53" t="s">
        <v>16</v>
      </c>
      <c r="C53" t="s">
        <v>42</v>
      </c>
      <c r="D53" t="s">
        <v>45</v>
      </c>
      <c r="E53">
        <v>1817</v>
      </c>
      <c r="F53">
        <v>250</v>
      </c>
      <c r="G53">
        <v>20</v>
      </c>
      <c r="H53">
        <v>36340</v>
      </c>
      <c r="I53">
        <v>0</v>
      </c>
      <c r="J53">
        <v>36340</v>
      </c>
      <c r="K53">
        <v>18170</v>
      </c>
      <c r="L53">
        <v>18170</v>
      </c>
      <c r="M53">
        <v>41974</v>
      </c>
      <c r="N53">
        <v>12</v>
      </c>
      <c r="O53" t="s">
        <v>32</v>
      </c>
      <c r="P53" t="s">
        <v>15</v>
      </c>
    </row>
    <row r="54" spans="1:16" x14ac:dyDescent="0.35">
      <c r="A54" t="s">
        <v>10</v>
      </c>
      <c r="B54" t="s">
        <v>18</v>
      </c>
      <c r="C54" t="s">
        <v>43</v>
      </c>
      <c r="D54" t="s">
        <v>45</v>
      </c>
      <c r="E54">
        <v>2750</v>
      </c>
      <c r="F54">
        <v>260</v>
      </c>
      <c r="G54">
        <v>350</v>
      </c>
      <c r="H54">
        <v>962500</v>
      </c>
      <c r="I54">
        <v>0</v>
      </c>
      <c r="J54">
        <v>962500</v>
      </c>
      <c r="K54">
        <v>715000</v>
      </c>
      <c r="L54">
        <v>247500</v>
      </c>
      <c r="M54">
        <v>41671</v>
      </c>
      <c r="N54">
        <v>2</v>
      </c>
      <c r="O54" t="s">
        <v>22</v>
      </c>
      <c r="P54" t="s">
        <v>15</v>
      </c>
    </row>
    <row r="55" spans="1:16" x14ac:dyDescent="0.35">
      <c r="A55" t="s">
        <v>11</v>
      </c>
      <c r="B55" t="s">
        <v>17</v>
      </c>
      <c r="C55" t="s">
        <v>43</v>
      </c>
      <c r="D55" t="s">
        <v>45</v>
      </c>
      <c r="E55">
        <v>1953</v>
      </c>
      <c r="F55">
        <v>260</v>
      </c>
      <c r="G55">
        <v>12</v>
      </c>
      <c r="H55">
        <v>23436</v>
      </c>
      <c r="I55">
        <v>0</v>
      </c>
      <c r="J55">
        <v>23436</v>
      </c>
      <c r="K55">
        <v>5859</v>
      </c>
      <c r="L55">
        <v>17577</v>
      </c>
      <c r="M55">
        <v>41730</v>
      </c>
      <c r="N55">
        <v>4</v>
      </c>
      <c r="O55" t="s">
        <v>24</v>
      </c>
      <c r="P55" t="s">
        <v>15</v>
      </c>
    </row>
    <row r="56" spans="1:16" x14ac:dyDescent="0.35">
      <c r="A56" t="s">
        <v>11</v>
      </c>
      <c r="B56" t="s">
        <v>17</v>
      </c>
      <c r="C56" t="s">
        <v>43</v>
      </c>
      <c r="D56" t="s">
        <v>45</v>
      </c>
      <c r="E56">
        <v>1953</v>
      </c>
      <c r="F56">
        <v>260</v>
      </c>
      <c r="G56">
        <v>12</v>
      </c>
      <c r="H56">
        <v>23436</v>
      </c>
      <c r="I56">
        <v>0</v>
      </c>
      <c r="J56">
        <v>23436</v>
      </c>
      <c r="K56">
        <v>5859</v>
      </c>
      <c r="L56">
        <v>17577</v>
      </c>
      <c r="M56">
        <v>41730</v>
      </c>
      <c r="N56">
        <v>4</v>
      </c>
      <c r="O56" t="s">
        <v>24</v>
      </c>
      <c r="P56" t="s">
        <v>15</v>
      </c>
    </row>
    <row r="57" spans="1:16" x14ac:dyDescent="0.35">
      <c r="A57" t="s">
        <v>9</v>
      </c>
      <c r="B57" t="s">
        <v>19</v>
      </c>
      <c r="C57" t="s">
        <v>43</v>
      </c>
      <c r="D57" t="s">
        <v>45</v>
      </c>
      <c r="E57">
        <v>4219.5</v>
      </c>
      <c r="F57">
        <v>260</v>
      </c>
      <c r="G57">
        <v>125</v>
      </c>
      <c r="H57">
        <v>527437.5</v>
      </c>
      <c r="I57">
        <v>0</v>
      </c>
      <c r="J57">
        <v>527437.5</v>
      </c>
      <c r="K57">
        <v>506340</v>
      </c>
      <c r="L57">
        <v>21097.5</v>
      </c>
      <c r="M57">
        <v>41730</v>
      </c>
      <c r="N57">
        <v>4</v>
      </c>
      <c r="O57" t="s">
        <v>24</v>
      </c>
      <c r="P57" t="s">
        <v>15</v>
      </c>
    </row>
    <row r="58" spans="1:16" x14ac:dyDescent="0.35">
      <c r="A58" t="s">
        <v>10</v>
      </c>
      <c r="B58" t="s">
        <v>18</v>
      </c>
      <c r="C58" t="s">
        <v>43</v>
      </c>
      <c r="D58" t="s">
        <v>45</v>
      </c>
      <c r="E58">
        <v>1899</v>
      </c>
      <c r="F58">
        <v>260</v>
      </c>
      <c r="G58">
        <v>20</v>
      </c>
      <c r="H58">
        <v>37980</v>
      </c>
      <c r="I58">
        <v>0</v>
      </c>
      <c r="J58">
        <v>37980</v>
      </c>
      <c r="K58">
        <v>18990</v>
      </c>
      <c r="L58">
        <v>18990</v>
      </c>
      <c r="M58">
        <v>41791</v>
      </c>
      <c r="N58">
        <v>6</v>
      </c>
      <c r="O58" t="s">
        <v>26</v>
      </c>
      <c r="P58" t="s">
        <v>15</v>
      </c>
    </row>
    <row r="59" spans="1:16" x14ac:dyDescent="0.35">
      <c r="A59" t="s">
        <v>10</v>
      </c>
      <c r="B59" t="s">
        <v>19</v>
      </c>
      <c r="C59" t="s">
        <v>43</v>
      </c>
      <c r="D59" t="s">
        <v>45</v>
      </c>
      <c r="E59">
        <v>1686</v>
      </c>
      <c r="F59">
        <v>260</v>
      </c>
      <c r="G59">
        <v>7</v>
      </c>
      <c r="H59">
        <v>11802</v>
      </c>
      <c r="I59">
        <v>0</v>
      </c>
      <c r="J59">
        <v>11802</v>
      </c>
      <c r="K59">
        <v>8430</v>
      </c>
      <c r="L59">
        <v>3372</v>
      </c>
      <c r="M59">
        <v>41821</v>
      </c>
      <c r="N59">
        <v>7</v>
      </c>
      <c r="O59" t="s">
        <v>27</v>
      </c>
      <c r="P59" t="s">
        <v>15</v>
      </c>
    </row>
    <row r="60" spans="1:16" x14ac:dyDescent="0.35">
      <c r="A60" t="s">
        <v>11</v>
      </c>
      <c r="B60" t="s">
        <v>17</v>
      </c>
      <c r="C60" t="s">
        <v>43</v>
      </c>
      <c r="D60" t="s">
        <v>45</v>
      </c>
      <c r="E60">
        <v>2141</v>
      </c>
      <c r="F60">
        <v>260</v>
      </c>
      <c r="G60">
        <v>12</v>
      </c>
      <c r="H60">
        <v>25692</v>
      </c>
      <c r="I60">
        <v>0</v>
      </c>
      <c r="J60">
        <v>25692</v>
      </c>
      <c r="K60">
        <v>6423</v>
      </c>
      <c r="L60">
        <v>19269</v>
      </c>
      <c r="M60">
        <v>41852</v>
      </c>
      <c r="N60">
        <v>8</v>
      </c>
      <c r="O60" t="s">
        <v>28</v>
      </c>
      <c r="P60" t="s">
        <v>15</v>
      </c>
    </row>
    <row r="61" spans="1:16" x14ac:dyDescent="0.35">
      <c r="A61" t="s">
        <v>10</v>
      </c>
      <c r="B61" t="s">
        <v>17</v>
      </c>
      <c r="C61" t="s">
        <v>43</v>
      </c>
      <c r="D61" t="s">
        <v>45</v>
      </c>
      <c r="E61">
        <v>1143</v>
      </c>
      <c r="F61">
        <v>260</v>
      </c>
      <c r="G61">
        <v>7</v>
      </c>
      <c r="H61">
        <v>8001</v>
      </c>
      <c r="I61">
        <v>0</v>
      </c>
      <c r="J61">
        <v>8001</v>
      </c>
      <c r="K61">
        <v>5715</v>
      </c>
      <c r="L61">
        <v>2286</v>
      </c>
      <c r="M61">
        <v>41913</v>
      </c>
      <c r="N61">
        <v>10</v>
      </c>
      <c r="O61" t="s">
        <v>30</v>
      </c>
      <c r="P61" t="s">
        <v>15</v>
      </c>
    </row>
    <row r="62" spans="1:16" x14ac:dyDescent="0.35">
      <c r="A62" t="s">
        <v>8</v>
      </c>
      <c r="B62" t="s">
        <v>17</v>
      </c>
      <c r="C62" t="s">
        <v>43</v>
      </c>
      <c r="D62" t="s">
        <v>45</v>
      </c>
      <c r="E62">
        <v>615</v>
      </c>
      <c r="F62">
        <v>260</v>
      </c>
      <c r="G62">
        <v>15</v>
      </c>
      <c r="H62">
        <v>9225</v>
      </c>
      <c r="I62">
        <v>0</v>
      </c>
      <c r="J62">
        <v>9225</v>
      </c>
      <c r="K62">
        <v>6150</v>
      </c>
      <c r="L62">
        <v>3075</v>
      </c>
      <c r="M62">
        <v>41974</v>
      </c>
      <c r="N62">
        <v>12</v>
      </c>
      <c r="O62" t="s">
        <v>32</v>
      </c>
      <c r="P62" t="s">
        <v>15</v>
      </c>
    </row>
    <row r="63" spans="1:16" x14ac:dyDescent="0.35">
      <c r="A63" t="s">
        <v>8</v>
      </c>
      <c r="B63" t="s">
        <v>17</v>
      </c>
      <c r="C63" t="s">
        <v>43</v>
      </c>
      <c r="D63" t="s">
        <v>45</v>
      </c>
      <c r="E63">
        <v>615</v>
      </c>
      <c r="F63">
        <v>260</v>
      </c>
      <c r="G63">
        <v>15</v>
      </c>
      <c r="H63">
        <v>9225</v>
      </c>
      <c r="I63">
        <v>0</v>
      </c>
      <c r="J63">
        <v>9225</v>
      </c>
      <c r="K63">
        <v>6150</v>
      </c>
      <c r="L63">
        <v>3075</v>
      </c>
      <c r="M63">
        <v>41974</v>
      </c>
      <c r="N63">
        <v>12</v>
      </c>
      <c r="O63" t="s">
        <v>32</v>
      </c>
      <c r="P63" t="s">
        <v>15</v>
      </c>
    </row>
    <row r="64" spans="1:16" x14ac:dyDescent="0.35">
      <c r="A64" t="s">
        <v>10</v>
      </c>
      <c r="B64" t="s">
        <v>18</v>
      </c>
      <c r="C64" t="s">
        <v>40</v>
      </c>
      <c r="D64" t="s">
        <v>46</v>
      </c>
      <c r="E64">
        <v>3945</v>
      </c>
      <c r="F64">
        <v>10</v>
      </c>
      <c r="G64">
        <v>7</v>
      </c>
      <c r="H64">
        <v>27615</v>
      </c>
      <c r="I64">
        <v>276.14999999999998</v>
      </c>
      <c r="J64">
        <v>27338.850000000002</v>
      </c>
      <c r="K64">
        <v>19725</v>
      </c>
      <c r="L64">
        <v>7613.8500000000022</v>
      </c>
      <c r="M64">
        <v>41640</v>
      </c>
      <c r="N64">
        <v>1</v>
      </c>
      <c r="O64" t="s">
        <v>21</v>
      </c>
      <c r="P64" t="s">
        <v>15</v>
      </c>
    </row>
    <row r="65" spans="1:16" x14ac:dyDescent="0.35">
      <c r="A65" t="s">
        <v>8</v>
      </c>
      <c r="B65" t="s">
        <v>18</v>
      </c>
      <c r="C65" t="s">
        <v>40</v>
      </c>
      <c r="D65" t="s">
        <v>46</v>
      </c>
      <c r="E65">
        <v>2296</v>
      </c>
      <c r="F65">
        <v>10</v>
      </c>
      <c r="G65">
        <v>15</v>
      </c>
      <c r="H65">
        <v>34440</v>
      </c>
      <c r="I65">
        <v>344.4</v>
      </c>
      <c r="J65">
        <v>34095.599999999999</v>
      </c>
      <c r="K65">
        <v>22960</v>
      </c>
      <c r="L65">
        <v>11135.599999999999</v>
      </c>
      <c r="M65">
        <v>41671</v>
      </c>
      <c r="N65">
        <v>2</v>
      </c>
      <c r="O65" t="s">
        <v>22</v>
      </c>
      <c r="P65" t="s">
        <v>15</v>
      </c>
    </row>
    <row r="66" spans="1:16" x14ac:dyDescent="0.35">
      <c r="A66" t="s">
        <v>10</v>
      </c>
      <c r="B66" t="s">
        <v>18</v>
      </c>
      <c r="C66" t="s">
        <v>40</v>
      </c>
      <c r="D66" t="s">
        <v>46</v>
      </c>
      <c r="E66">
        <v>1030</v>
      </c>
      <c r="F66">
        <v>10</v>
      </c>
      <c r="G66">
        <v>7</v>
      </c>
      <c r="H66">
        <v>7210</v>
      </c>
      <c r="I66">
        <v>72.099999999999994</v>
      </c>
      <c r="J66">
        <v>7137.9</v>
      </c>
      <c r="K66">
        <v>5150</v>
      </c>
      <c r="L66">
        <v>1987.8999999999996</v>
      </c>
      <c r="M66">
        <v>41760</v>
      </c>
      <c r="N66">
        <v>5</v>
      </c>
      <c r="O66" t="s">
        <v>25</v>
      </c>
      <c r="P66" t="s">
        <v>15</v>
      </c>
    </row>
    <row r="67" spans="1:16" x14ac:dyDescent="0.35">
      <c r="A67" t="s">
        <v>10</v>
      </c>
      <c r="B67" t="s">
        <v>18</v>
      </c>
      <c r="C67" t="s">
        <v>41</v>
      </c>
      <c r="D67" t="s">
        <v>46</v>
      </c>
      <c r="E67">
        <v>639</v>
      </c>
      <c r="F67">
        <v>120</v>
      </c>
      <c r="G67">
        <v>7</v>
      </c>
      <c r="H67">
        <v>4473</v>
      </c>
      <c r="I67">
        <v>44.73</v>
      </c>
      <c r="J67">
        <v>4428.2700000000004</v>
      </c>
      <c r="K67">
        <v>3195</v>
      </c>
      <c r="L67">
        <v>1233.2700000000004</v>
      </c>
      <c r="M67">
        <v>41944</v>
      </c>
      <c r="N67">
        <v>11</v>
      </c>
      <c r="O67" t="s">
        <v>31</v>
      </c>
      <c r="P67" t="s">
        <v>15</v>
      </c>
    </row>
    <row r="68" spans="1:16" x14ac:dyDescent="0.35">
      <c r="A68" t="s">
        <v>10</v>
      </c>
      <c r="B68" t="s">
        <v>16</v>
      </c>
      <c r="C68" t="s">
        <v>42</v>
      </c>
      <c r="D68" t="s">
        <v>46</v>
      </c>
      <c r="E68">
        <v>1326</v>
      </c>
      <c r="F68">
        <v>250</v>
      </c>
      <c r="G68">
        <v>7</v>
      </c>
      <c r="H68">
        <v>9282</v>
      </c>
      <c r="I68">
        <v>92.82</v>
      </c>
      <c r="J68">
        <v>9189.18</v>
      </c>
      <c r="K68">
        <v>6630</v>
      </c>
      <c r="L68">
        <v>2559.1800000000003</v>
      </c>
      <c r="M68">
        <v>41699</v>
      </c>
      <c r="N68">
        <v>3</v>
      </c>
      <c r="O68" t="s">
        <v>23</v>
      </c>
      <c r="P68" t="s">
        <v>15</v>
      </c>
    </row>
    <row r="69" spans="1:16" x14ac:dyDescent="0.35">
      <c r="A69" t="s">
        <v>11</v>
      </c>
      <c r="B69" t="s">
        <v>17</v>
      </c>
      <c r="C69" t="s">
        <v>38</v>
      </c>
      <c r="D69" t="s">
        <v>46</v>
      </c>
      <c r="E69">
        <v>1858</v>
      </c>
      <c r="F69">
        <v>3</v>
      </c>
      <c r="G69">
        <v>12</v>
      </c>
      <c r="H69">
        <v>22296</v>
      </c>
      <c r="I69">
        <v>222.96</v>
      </c>
      <c r="J69">
        <v>22073.040000000001</v>
      </c>
      <c r="K69">
        <v>5574</v>
      </c>
      <c r="L69">
        <v>16499.04</v>
      </c>
      <c r="M69">
        <v>41671</v>
      </c>
      <c r="N69">
        <v>2</v>
      </c>
      <c r="O69" t="s">
        <v>22</v>
      </c>
      <c r="P69" t="s">
        <v>15</v>
      </c>
    </row>
    <row r="70" spans="1:16" x14ac:dyDescent="0.35">
      <c r="A70" t="s">
        <v>10</v>
      </c>
      <c r="B70" t="s">
        <v>20</v>
      </c>
      <c r="C70" t="s">
        <v>38</v>
      </c>
      <c r="D70" t="s">
        <v>46</v>
      </c>
      <c r="E70">
        <v>1210</v>
      </c>
      <c r="F70">
        <v>3</v>
      </c>
      <c r="G70">
        <v>350</v>
      </c>
      <c r="H70">
        <v>423500</v>
      </c>
      <c r="I70">
        <v>4235</v>
      </c>
      <c r="J70">
        <v>419265</v>
      </c>
      <c r="K70">
        <v>314600</v>
      </c>
      <c r="L70">
        <v>104665</v>
      </c>
      <c r="M70">
        <v>41699</v>
      </c>
      <c r="N70">
        <v>3</v>
      </c>
      <c r="O70" t="s">
        <v>23</v>
      </c>
      <c r="P70" t="s">
        <v>15</v>
      </c>
    </row>
    <row r="71" spans="1:16" x14ac:dyDescent="0.35">
      <c r="A71" t="s">
        <v>10</v>
      </c>
      <c r="B71" t="s">
        <v>20</v>
      </c>
      <c r="C71" t="s">
        <v>38</v>
      </c>
      <c r="D71" t="s">
        <v>46</v>
      </c>
      <c r="E71">
        <v>1210</v>
      </c>
      <c r="F71">
        <v>3</v>
      </c>
      <c r="G71">
        <v>350</v>
      </c>
      <c r="H71">
        <v>423500</v>
      </c>
      <c r="I71">
        <v>4235</v>
      </c>
      <c r="J71">
        <v>419265</v>
      </c>
      <c r="K71">
        <v>314600</v>
      </c>
      <c r="L71">
        <v>104665</v>
      </c>
      <c r="M71">
        <v>41699</v>
      </c>
      <c r="N71">
        <v>3</v>
      </c>
      <c r="O71" t="s">
        <v>23</v>
      </c>
      <c r="P71" t="s">
        <v>15</v>
      </c>
    </row>
    <row r="72" spans="1:16" x14ac:dyDescent="0.35">
      <c r="A72" t="s">
        <v>10</v>
      </c>
      <c r="B72" t="s">
        <v>17</v>
      </c>
      <c r="C72" t="s">
        <v>38</v>
      </c>
      <c r="D72" t="s">
        <v>46</v>
      </c>
      <c r="E72">
        <v>2529</v>
      </c>
      <c r="F72">
        <v>3</v>
      </c>
      <c r="G72">
        <v>7</v>
      </c>
      <c r="H72">
        <v>17703</v>
      </c>
      <c r="I72">
        <v>177.03</v>
      </c>
      <c r="J72">
        <v>17525.97</v>
      </c>
      <c r="K72">
        <v>12645</v>
      </c>
      <c r="L72">
        <v>4880.9699999999993</v>
      </c>
      <c r="M72">
        <v>41821</v>
      </c>
      <c r="N72">
        <v>7</v>
      </c>
      <c r="O72" t="s">
        <v>27</v>
      </c>
      <c r="P72" t="s">
        <v>15</v>
      </c>
    </row>
    <row r="73" spans="1:16" x14ac:dyDescent="0.35">
      <c r="A73" t="s">
        <v>11</v>
      </c>
      <c r="B73" t="s">
        <v>16</v>
      </c>
      <c r="C73" t="s">
        <v>38</v>
      </c>
      <c r="D73" t="s">
        <v>46</v>
      </c>
      <c r="E73">
        <v>1445</v>
      </c>
      <c r="F73">
        <v>3</v>
      </c>
      <c r="G73">
        <v>12</v>
      </c>
      <c r="H73">
        <v>17340</v>
      </c>
      <c r="I73">
        <v>173.4</v>
      </c>
      <c r="J73">
        <v>17166.599999999999</v>
      </c>
      <c r="K73">
        <v>4335</v>
      </c>
      <c r="L73">
        <v>12831.599999999999</v>
      </c>
      <c r="M73">
        <v>41883</v>
      </c>
      <c r="N73">
        <v>9</v>
      </c>
      <c r="O73" t="s">
        <v>29</v>
      </c>
      <c r="P73" t="s">
        <v>15</v>
      </c>
    </row>
    <row r="74" spans="1:16" x14ac:dyDescent="0.35">
      <c r="A74" t="s">
        <v>9</v>
      </c>
      <c r="B74" t="s">
        <v>17</v>
      </c>
      <c r="C74" t="s">
        <v>38</v>
      </c>
      <c r="D74" t="s">
        <v>46</v>
      </c>
      <c r="E74">
        <v>330</v>
      </c>
      <c r="F74">
        <v>3</v>
      </c>
      <c r="G74">
        <v>125</v>
      </c>
      <c r="H74">
        <v>41250</v>
      </c>
      <c r="I74">
        <v>412.5</v>
      </c>
      <c r="J74">
        <v>40837.5</v>
      </c>
      <c r="K74">
        <v>39600</v>
      </c>
      <c r="L74">
        <v>1237.5</v>
      </c>
      <c r="M74">
        <v>41518</v>
      </c>
      <c r="N74">
        <v>9</v>
      </c>
      <c r="O74" t="s">
        <v>29</v>
      </c>
      <c r="P74" t="s">
        <v>14</v>
      </c>
    </row>
    <row r="75" spans="1:16" x14ac:dyDescent="0.35">
      <c r="A75" t="s">
        <v>11</v>
      </c>
      <c r="B75" t="s">
        <v>18</v>
      </c>
      <c r="C75" t="s">
        <v>38</v>
      </c>
      <c r="D75" t="s">
        <v>46</v>
      </c>
      <c r="E75">
        <v>2671</v>
      </c>
      <c r="F75">
        <v>3</v>
      </c>
      <c r="G75">
        <v>12</v>
      </c>
      <c r="H75">
        <v>32052</v>
      </c>
      <c r="I75">
        <v>320.52</v>
      </c>
      <c r="J75">
        <v>31731.48</v>
      </c>
      <c r="K75">
        <v>8013</v>
      </c>
      <c r="L75">
        <v>23718.48</v>
      </c>
      <c r="M75">
        <v>41883</v>
      </c>
      <c r="N75">
        <v>9</v>
      </c>
      <c r="O75" t="s">
        <v>29</v>
      </c>
      <c r="P75" t="s">
        <v>15</v>
      </c>
    </row>
    <row r="76" spans="1:16" x14ac:dyDescent="0.35">
      <c r="A76" t="s">
        <v>11</v>
      </c>
      <c r="B76" t="s">
        <v>19</v>
      </c>
      <c r="C76" t="s">
        <v>38</v>
      </c>
      <c r="D76" t="s">
        <v>46</v>
      </c>
      <c r="E76">
        <v>766</v>
      </c>
      <c r="F76">
        <v>3</v>
      </c>
      <c r="G76">
        <v>12</v>
      </c>
      <c r="H76">
        <v>9192</v>
      </c>
      <c r="I76">
        <v>91.92</v>
      </c>
      <c r="J76">
        <v>9100.08</v>
      </c>
      <c r="K76">
        <v>2298</v>
      </c>
      <c r="L76">
        <v>6802.08</v>
      </c>
      <c r="M76">
        <v>41548</v>
      </c>
      <c r="N76">
        <v>10</v>
      </c>
      <c r="O76" t="s">
        <v>30</v>
      </c>
      <c r="P76" t="s">
        <v>14</v>
      </c>
    </row>
    <row r="77" spans="1:16" x14ac:dyDescent="0.35">
      <c r="A77" t="s">
        <v>7</v>
      </c>
      <c r="B77" t="s">
        <v>20</v>
      </c>
      <c r="C77" t="s">
        <v>38</v>
      </c>
      <c r="D77" t="s">
        <v>46</v>
      </c>
      <c r="E77">
        <v>494</v>
      </c>
      <c r="F77">
        <v>3</v>
      </c>
      <c r="G77">
        <v>300</v>
      </c>
      <c r="H77">
        <v>148200</v>
      </c>
      <c r="I77">
        <v>1482</v>
      </c>
      <c r="J77">
        <v>146718</v>
      </c>
      <c r="K77">
        <v>123500</v>
      </c>
      <c r="L77">
        <v>23218</v>
      </c>
      <c r="M77">
        <v>41548</v>
      </c>
      <c r="N77">
        <v>10</v>
      </c>
      <c r="O77" t="s">
        <v>30</v>
      </c>
      <c r="P77" t="s">
        <v>14</v>
      </c>
    </row>
    <row r="78" spans="1:16" x14ac:dyDescent="0.35">
      <c r="A78" t="s">
        <v>10</v>
      </c>
      <c r="B78" t="s">
        <v>20</v>
      </c>
      <c r="C78" t="s">
        <v>38</v>
      </c>
      <c r="D78" t="s">
        <v>46</v>
      </c>
      <c r="E78">
        <v>1397</v>
      </c>
      <c r="F78">
        <v>3</v>
      </c>
      <c r="G78">
        <v>350</v>
      </c>
      <c r="H78">
        <v>488950</v>
      </c>
      <c r="I78">
        <v>4889.5</v>
      </c>
      <c r="J78">
        <v>484060.5</v>
      </c>
      <c r="K78">
        <v>363220</v>
      </c>
      <c r="L78">
        <v>120840.5</v>
      </c>
      <c r="M78">
        <v>41913</v>
      </c>
      <c r="N78">
        <v>10</v>
      </c>
      <c r="O78" t="s">
        <v>30</v>
      </c>
      <c r="P78" t="s">
        <v>15</v>
      </c>
    </row>
    <row r="79" spans="1:16" x14ac:dyDescent="0.35">
      <c r="A79" t="s">
        <v>10</v>
      </c>
      <c r="B79" t="s">
        <v>18</v>
      </c>
      <c r="C79" t="s">
        <v>38</v>
      </c>
      <c r="D79" t="s">
        <v>46</v>
      </c>
      <c r="E79">
        <v>2155</v>
      </c>
      <c r="F79">
        <v>3</v>
      </c>
      <c r="G79">
        <v>350</v>
      </c>
      <c r="H79">
        <v>754250</v>
      </c>
      <c r="I79">
        <v>7542.5</v>
      </c>
      <c r="J79">
        <v>746707.5</v>
      </c>
      <c r="K79">
        <v>560300</v>
      </c>
      <c r="L79">
        <v>186407.5</v>
      </c>
      <c r="M79">
        <v>41974</v>
      </c>
      <c r="N79">
        <v>12</v>
      </c>
      <c r="O79" t="s">
        <v>32</v>
      </c>
      <c r="P79" t="s">
        <v>15</v>
      </c>
    </row>
    <row r="80" spans="1:16" x14ac:dyDescent="0.35">
      <c r="A80" t="s">
        <v>8</v>
      </c>
      <c r="B80" t="s">
        <v>20</v>
      </c>
      <c r="C80" t="s">
        <v>39</v>
      </c>
      <c r="D80" t="s">
        <v>46</v>
      </c>
      <c r="E80">
        <v>2214</v>
      </c>
      <c r="F80">
        <v>5</v>
      </c>
      <c r="G80">
        <v>15</v>
      </c>
      <c r="H80">
        <v>33210</v>
      </c>
      <c r="I80">
        <v>332.1</v>
      </c>
      <c r="J80">
        <v>32877.9</v>
      </c>
      <c r="K80">
        <v>22140</v>
      </c>
      <c r="L80">
        <v>10737.900000000001</v>
      </c>
      <c r="M80">
        <v>41699</v>
      </c>
      <c r="N80">
        <v>3</v>
      </c>
      <c r="O80" t="s">
        <v>23</v>
      </c>
      <c r="P80" t="s">
        <v>15</v>
      </c>
    </row>
    <row r="81" spans="1:16" x14ac:dyDescent="0.35">
      <c r="A81" t="s">
        <v>7</v>
      </c>
      <c r="B81" t="s">
        <v>17</v>
      </c>
      <c r="C81" t="s">
        <v>39</v>
      </c>
      <c r="D81" t="s">
        <v>46</v>
      </c>
      <c r="E81">
        <v>2301</v>
      </c>
      <c r="F81">
        <v>5</v>
      </c>
      <c r="G81">
        <v>300</v>
      </c>
      <c r="H81">
        <v>690300</v>
      </c>
      <c r="I81">
        <v>6903</v>
      </c>
      <c r="J81">
        <v>683397</v>
      </c>
      <c r="K81">
        <v>575250</v>
      </c>
      <c r="L81">
        <v>108147</v>
      </c>
      <c r="M81">
        <v>41730</v>
      </c>
      <c r="N81">
        <v>4</v>
      </c>
      <c r="O81" t="s">
        <v>24</v>
      </c>
      <c r="P81" t="s">
        <v>15</v>
      </c>
    </row>
    <row r="82" spans="1:16" x14ac:dyDescent="0.35">
      <c r="A82" t="s">
        <v>10</v>
      </c>
      <c r="B82" t="s">
        <v>18</v>
      </c>
      <c r="C82" t="s">
        <v>39</v>
      </c>
      <c r="D82" t="s">
        <v>46</v>
      </c>
      <c r="E82">
        <v>1375.5</v>
      </c>
      <c r="F82">
        <v>5</v>
      </c>
      <c r="G82">
        <v>20</v>
      </c>
      <c r="H82">
        <v>27510</v>
      </c>
      <c r="I82">
        <v>275.10000000000002</v>
      </c>
      <c r="J82">
        <v>27234.899999999998</v>
      </c>
      <c r="K82">
        <v>13755</v>
      </c>
      <c r="L82">
        <v>13479.899999999998</v>
      </c>
      <c r="M82">
        <v>41821</v>
      </c>
      <c r="N82">
        <v>7</v>
      </c>
      <c r="O82" t="s">
        <v>27</v>
      </c>
      <c r="P82" t="s">
        <v>15</v>
      </c>
    </row>
    <row r="83" spans="1:16" x14ac:dyDescent="0.35">
      <c r="A83" t="s">
        <v>10</v>
      </c>
      <c r="B83" t="s">
        <v>16</v>
      </c>
      <c r="C83" t="s">
        <v>39</v>
      </c>
      <c r="D83" t="s">
        <v>46</v>
      </c>
      <c r="E83">
        <v>1830</v>
      </c>
      <c r="F83">
        <v>5</v>
      </c>
      <c r="G83">
        <v>7</v>
      </c>
      <c r="H83">
        <v>12810</v>
      </c>
      <c r="I83">
        <v>128.1</v>
      </c>
      <c r="J83">
        <v>12681.9</v>
      </c>
      <c r="K83">
        <v>9150</v>
      </c>
      <c r="L83">
        <v>3531.8999999999996</v>
      </c>
      <c r="M83">
        <v>41852</v>
      </c>
      <c r="N83">
        <v>8</v>
      </c>
      <c r="O83" t="s">
        <v>28</v>
      </c>
      <c r="P83" t="s">
        <v>15</v>
      </c>
    </row>
    <row r="84" spans="1:16" x14ac:dyDescent="0.35">
      <c r="A84" t="s">
        <v>7</v>
      </c>
      <c r="B84" t="s">
        <v>17</v>
      </c>
      <c r="C84" t="s">
        <v>39</v>
      </c>
      <c r="D84" t="s">
        <v>46</v>
      </c>
      <c r="E84">
        <v>2498</v>
      </c>
      <c r="F84">
        <v>5</v>
      </c>
      <c r="G84">
        <v>300</v>
      </c>
      <c r="H84">
        <v>749400</v>
      </c>
      <c r="I84">
        <v>7494</v>
      </c>
      <c r="J84">
        <v>741906</v>
      </c>
      <c r="K84">
        <v>624500</v>
      </c>
      <c r="L84">
        <v>117406</v>
      </c>
      <c r="M84">
        <v>41518</v>
      </c>
      <c r="N84">
        <v>9</v>
      </c>
      <c r="O84" t="s">
        <v>29</v>
      </c>
      <c r="P84" t="s">
        <v>14</v>
      </c>
    </row>
    <row r="85" spans="1:16" x14ac:dyDescent="0.35">
      <c r="A85" t="s">
        <v>7</v>
      </c>
      <c r="B85" t="s">
        <v>17</v>
      </c>
      <c r="C85" t="s">
        <v>39</v>
      </c>
      <c r="D85" t="s">
        <v>46</v>
      </c>
      <c r="E85">
        <v>2498</v>
      </c>
      <c r="F85">
        <v>5</v>
      </c>
      <c r="G85">
        <v>300</v>
      </c>
      <c r="H85">
        <v>749400</v>
      </c>
      <c r="I85">
        <v>7494</v>
      </c>
      <c r="J85">
        <v>741906</v>
      </c>
      <c r="K85">
        <v>624500</v>
      </c>
      <c r="L85">
        <v>117406</v>
      </c>
      <c r="M85">
        <v>41518</v>
      </c>
      <c r="N85">
        <v>9</v>
      </c>
      <c r="O85" t="s">
        <v>29</v>
      </c>
      <c r="P85" t="s">
        <v>14</v>
      </c>
    </row>
    <row r="86" spans="1:16" x14ac:dyDescent="0.35">
      <c r="A86" t="s">
        <v>9</v>
      </c>
      <c r="B86" t="s">
        <v>17</v>
      </c>
      <c r="C86" t="s">
        <v>39</v>
      </c>
      <c r="D86" t="s">
        <v>46</v>
      </c>
      <c r="E86">
        <v>663</v>
      </c>
      <c r="F86">
        <v>5</v>
      </c>
      <c r="G86">
        <v>125</v>
      </c>
      <c r="H86">
        <v>82875</v>
      </c>
      <c r="I86">
        <v>828.75</v>
      </c>
      <c r="J86">
        <v>82046.25</v>
      </c>
      <c r="K86">
        <v>79560</v>
      </c>
      <c r="L86">
        <v>2486.25</v>
      </c>
      <c r="M86">
        <v>41548</v>
      </c>
      <c r="N86">
        <v>10</v>
      </c>
      <c r="O86" t="s">
        <v>30</v>
      </c>
      <c r="P86" t="s">
        <v>14</v>
      </c>
    </row>
    <row r="87" spans="1:16" x14ac:dyDescent="0.35">
      <c r="A87" t="s">
        <v>8</v>
      </c>
      <c r="B87" t="s">
        <v>17</v>
      </c>
      <c r="C87" t="s">
        <v>40</v>
      </c>
      <c r="D87" t="s">
        <v>46</v>
      </c>
      <c r="E87">
        <v>1514</v>
      </c>
      <c r="F87">
        <v>10</v>
      </c>
      <c r="G87">
        <v>15</v>
      </c>
      <c r="H87">
        <v>22710</v>
      </c>
      <c r="I87">
        <v>227.1</v>
      </c>
      <c r="J87">
        <v>22482.9</v>
      </c>
      <c r="K87">
        <v>15140</v>
      </c>
      <c r="L87">
        <v>7342.9000000000015</v>
      </c>
      <c r="M87">
        <v>41671</v>
      </c>
      <c r="N87">
        <v>2</v>
      </c>
      <c r="O87" t="s">
        <v>22</v>
      </c>
      <c r="P87" t="s">
        <v>15</v>
      </c>
    </row>
    <row r="88" spans="1:16" x14ac:dyDescent="0.35">
      <c r="A88" t="s">
        <v>10</v>
      </c>
      <c r="B88" t="s">
        <v>17</v>
      </c>
      <c r="C88" t="s">
        <v>40</v>
      </c>
      <c r="D88" t="s">
        <v>46</v>
      </c>
      <c r="E88">
        <v>4492.5</v>
      </c>
      <c r="F88">
        <v>10</v>
      </c>
      <c r="G88">
        <v>7</v>
      </c>
      <c r="H88">
        <v>31447.5</v>
      </c>
      <c r="I88">
        <v>314.47500000000002</v>
      </c>
      <c r="J88">
        <v>31133.024999999998</v>
      </c>
      <c r="K88">
        <v>22462.5</v>
      </c>
      <c r="L88">
        <v>8670.5249999999978</v>
      </c>
      <c r="M88">
        <v>41730</v>
      </c>
      <c r="N88">
        <v>4</v>
      </c>
      <c r="O88" t="s">
        <v>24</v>
      </c>
      <c r="P88" t="s">
        <v>15</v>
      </c>
    </row>
    <row r="89" spans="1:16" x14ac:dyDescent="0.35">
      <c r="A89" t="s">
        <v>9</v>
      </c>
      <c r="B89" t="s">
        <v>17</v>
      </c>
      <c r="C89" t="s">
        <v>40</v>
      </c>
      <c r="D89" t="s">
        <v>46</v>
      </c>
      <c r="E89">
        <v>727</v>
      </c>
      <c r="F89">
        <v>10</v>
      </c>
      <c r="G89">
        <v>125</v>
      </c>
      <c r="H89">
        <v>90875</v>
      </c>
      <c r="I89">
        <v>908.75</v>
      </c>
      <c r="J89">
        <v>89966.25</v>
      </c>
      <c r="K89">
        <v>87240</v>
      </c>
      <c r="L89">
        <v>2726.25</v>
      </c>
      <c r="M89">
        <v>41791</v>
      </c>
      <c r="N89">
        <v>6</v>
      </c>
      <c r="O89" t="s">
        <v>26</v>
      </c>
      <c r="P89" t="s">
        <v>15</v>
      </c>
    </row>
    <row r="90" spans="1:16" x14ac:dyDescent="0.35">
      <c r="A90" t="s">
        <v>9</v>
      </c>
      <c r="B90" t="s">
        <v>18</v>
      </c>
      <c r="C90" t="s">
        <v>40</v>
      </c>
      <c r="D90" t="s">
        <v>46</v>
      </c>
      <c r="E90">
        <v>787</v>
      </c>
      <c r="F90">
        <v>10</v>
      </c>
      <c r="G90">
        <v>125</v>
      </c>
      <c r="H90">
        <v>98375</v>
      </c>
      <c r="I90">
        <v>983.75</v>
      </c>
      <c r="J90">
        <v>97391.25</v>
      </c>
      <c r="K90">
        <v>94440</v>
      </c>
      <c r="L90">
        <v>2951.25</v>
      </c>
      <c r="M90">
        <v>41791</v>
      </c>
      <c r="N90">
        <v>6</v>
      </c>
      <c r="O90" t="s">
        <v>26</v>
      </c>
      <c r="P90" t="s">
        <v>15</v>
      </c>
    </row>
    <row r="91" spans="1:16" x14ac:dyDescent="0.35">
      <c r="A91" t="s">
        <v>9</v>
      </c>
      <c r="B91" t="s">
        <v>20</v>
      </c>
      <c r="C91" t="s">
        <v>40</v>
      </c>
      <c r="D91" t="s">
        <v>46</v>
      </c>
      <c r="E91">
        <v>1823</v>
      </c>
      <c r="F91">
        <v>10</v>
      </c>
      <c r="G91">
        <v>125</v>
      </c>
      <c r="H91">
        <v>227875</v>
      </c>
      <c r="I91">
        <v>2278.75</v>
      </c>
      <c r="J91">
        <v>225596.25</v>
      </c>
      <c r="K91">
        <v>218760</v>
      </c>
      <c r="L91">
        <v>6836.25</v>
      </c>
      <c r="M91">
        <v>41821</v>
      </c>
      <c r="N91">
        <v>7</v>
      </c>
      <c r="O91" t="s">
        <v>27</v>
      </c>
      <c r="P91" t="s">
        <v>15</v>
      </c>
    </row>
    <row r="92" spans="1:16" x14ac:dyDescent="0.35">
      <c r="A92" t="s">
        <v>8</v>
      </c>
      <c r="B92" t="s">
        <v>19</v>
      </c>
      <c r="C92" t="s">
        <v>40</v>
      </c>
      <c r="D92" t="s">
        <v>46</v>
      </c>
      <c r="E92">
        <v>747</v>
      </c>
      <c r="F92">
        <v>10</v>
      </c>
      <c r="G92">
        <v>15</v>
      </c>
      <c r="H92">
        <v>11205</v>
      </c>
      <c r="I92">
        <v>112.05</v>
      </c>
      <c r="J92">
        <v>11092.95</v>
      </c>
      <c r="K92">
        <v>7470</v>
      </c>
      <c r="L92">
        <v>3622.9500000000007</v>
      </c>
      <c r="M92">
        <v>41883</v>
      </c>
      <c r="N92">
        <v>9</v>
      </c>
      <c r="O92" t="s">
        <v>29</v>
      </c>
      <c r="P92" t="s">
        <v>15</v>
      </c>
    </row>
    <row r="93" spans="1:16" x14ac:dyDescent="0.35">
      <c r="A93" t="s">
        <v>11</v>
      </c>
      <c r="B93" t="s">
        <v>19</v>
      </c>
      <c r="C93" t="s">
        <v>40</v>
      </c>
      <c r="D93" t="s">
        <v>46</v>
      </c>
      <c r="E93">
        <v>766</v>
      </c>
      <c r="F93">
        <v>10</v>
      </c>
      <c r="G93">
        <v>12</v>
      </c>
      <c r="H93">
        <v>9192</v>
      </c>
      <c r="I93">
        <v>91.92</v>
      </c>
      <c r="J93">
        <v>9100.08</v>
      </c>
      <c r="K93">
        <v>2298</v>
      </c>
      <c r="L93">
        <v>6802.08</v>
      </c>
      <c r="M93">
        <v>41548</v>
      </c>
      <c r="N93">
        <v>10</v>
      </c>
      <c r="O93" t="s">
        <v>30</v>
      </c>
      <c r="P93" t="s">
        <v>14</v>
      </c>
    </row>
    <row r="94" spans="1:16" x14ac:dyDescent="0.35">
      <c r="A94" t="s">
        <v>7</v>
      </c>
      <c r="B94" t="s">
        <v>17</v>
      </c>
      <c r="C94" t="s">
        <v>40</v>
      </c>
      <c r="D94" t="s">
        <v>46</v>
      </c>
      <c r="E94">
        <v>2905</v>
      </c>
      <c r="F94">
        <v>10</v>
      </c>
      <c r="G94">
        <v>300</v>
      </c>
      <c r="H94">
        <v>871500</v>
      </c>
      <c r="I94">
        <v>8715</v>
      </c>
      <c r="J94">
        <v>862785</v>
      </c>
      <c r="K94">
        <v>726250</v>
      </c>
      <c r="L94">
        <v>136535</v>
      </c>
      <c r="M94">
        <v>41944</v>
      </c>
      <c r="N94">
        <v>11</v>
      </c>
      <c r="O94" t="s">
        <v>31</v>
      </c>
      <c r="P94" t="s">
        <v>15</v>
      </c>
    </row>
    <row r="95" spans="1:16" x14ac:dyDescent="0.35">
      <c r="A95" t="s">
        <v>10</v>
      </c>
      <c r="B95" t="s">
        <v>18</v>
      </c>
      <c r="C95" t="s">
        <v>40</v>
      </c>
      <c r="D95" t="s">
        <v>46</v>
      </c>
      <c r="E95">
        <v>2155</v>
      </c>
      <c r="F95">
        <v>10</v>
      </c>
      <c r="G95">
        <v>350</v>
      </c>
      <c r="H95">
        <v>754250</v>
      </c>
      <c r="I95">
        <v>7542.5</v>
      </c>
      <c r="J95">
        <v>746707.5</v>
      </c>
      <c r="K95">
        <v>560300</v>
      </c>
      <c r="L95">
        <v>186407.5</v>
      </c>
      <c r="M95">
        <v>41974</v>
      </c>
      <c r="N95">
        <v>12</v>
      </c>
      <c r="O95" t="s">
        <v>32</v>
      </c>
      <c r="P95" t="s">
        <v>15</v>
      </c>
    </row>
    <row r="96" spans="1:16" x14ac:dyDescent="0.35">
      <c r="A96" t="s">
        <v>10</v>
      </c>
      <c r="B96" t="s">
        <v>18</v>
      </c>
      <c r="C96" t="s">
        <v>41</v>
      </c>
      <c r="D96" t="s">
        <v>46</v>
      </c>
      <c r="E96">
        <v>3864</v>
      </c>
      <c r="F96">
        <v>120</v>
      </c>
      <c r="G96">
        <v>20</v>
      </c>
      <c r="H96">
        <v>77280</v>
      </c>
      <c r="I96">
        <v>772.80000000000007</v>
      </c>
      <c r="J96">
        <v>76507.200000000012</v>
      </c>
      <c r="K96">
        <v>38640</v>
      </c>
      <c r="L96">
        <v>37867.200000000004</v>
      </c>
      <c r="M96">
        <v>41730</v>
      </c>
      <c r="N96">
        <v>4</v>
      </c>
      <c r="O96" t="s">
        <v>24</v>
      </c>
      <c r="P96" t="s">
        <v>15</v>
      </c>
    </row>
    <row r="97" spans="1:16" x14ac:dyDescent="0.35">
      <c r="A97" t="s">
        <v>10</v>
      </c>
      <c r="B97" t="s">
        <v>20</v>
      </c>
      <c r="C97" t="s">
        <v>41</v>
      </c>
      <c r="D97" t="s">
        <v>46</v>
      </c>
      <c r="E97">
        <v>362</v>
      </c>
      <c r="F97">
        <v>120</v>
      </c>
      <c r="G97">
        <v>7</v>
      </c>
      <c r="H97">
        <v>2534</v>
      </c>
      <c r="I97">
        <v>25.34</v>
      </c>
      <c r="J97">
        <v>2508.66</v>
      </c>
      <c r="K97">
        <v>1810</v>
      </c>
      <c r="L97">
        <v>698.65999999999985</v>
      </c>
      <c r="M97">
        <v>41760</v>
      </c>
      <c r="N97">
        <v>5</v>
      </c>
      <c r="O97" t="s">
        <v>25</v>
      </c>
      <c r="P97" t="s">
        <v>15</v>
      </c>
    </row>
    <row r="98" spans="1:16" x14ac:dyDescent="0.35">
      <c r="A98" t="s">
        <v>9</v>
      </c>
      <c r="B98" t="s">
        <v>16</v>
      </c>
      <c r="C98" t="s">
        <v>41</v>
      </c>
      <c r="D98" t="s">
        <v>46</v>
      </c>
      <c r="E98">
        <v>923</v>
      </c>
      <c r="F98">
        <v>120</v>
      </c>
      <c r="G98">
        <v>125</v>
      </c>
      <c r="H98">
        <v>115375</v>
      </c>
      <c r="I98">
        <v>1153.75</v>
      </c>
      <c r="J98">
        <v>114221.25</v>
      </c>
      <c r="K98">
        <v>110760</v>
      </c>
      <c r="L98">
        <v>3461.25</v>
      </c>
      <c r="M98">
        <v>41852</v>
      </c>
      <c r="N98">
        <v>8</v>
      </c>
      <c r="O98" t="s">
        <v>28</v>
      </c>
      <c r="P98" t="s">
        <v>15</v>
      </c>
    </row>
    <row r="99" spans="1:16" x14ac:dyDescent="0.35">
      <c r="A99" t="s">
        <v>9</v>
      </c>
      <c r="B99" t="s">
        <v>17</v>
      </c>
      <c r="C99" t="s">
        <v>41</v>
      </c>
      <c r="D99" t="s">
        <v>46</v>
      </c>
      <c r="E99">
        <v>663</v>
      </c>
      <c r="F99">
        <v>120</v>
      </c>
      <c r="G99">
        <v>125</v>
      </c>
      <c r="H99">
        <v>82875</v>
      </c>
      <c r="I99">
        <v>828.75</v>
      </c>
      <c r="J99">
        <v>82046.25</v>
      </c>
      <c r="K99">
        <v>79560</v>
      </c>
      <c r="L99">
        <v>2486.25</v>
      </c>
      <c r="M99">
        <v>41548</v>
      </c>
      <c r="N99">
        <v>10</v>
      </c>
      <c r="O99" t="s">
        <v>30</v>
      </c>
      <c r="P99" t="s">
        <v>14</v>
      </c>
    </row>
    <row r="100" spans="1:16" x14ac:dyDescent="0.35">
      <c r="A100" t="s">
        <v>10</v>
      </c>
      <c r="B100" t="s">
        <v>16</v>
      </c>
      <c r="C100" t="s">
        <v>41</v>
      </c>
      <c r="D100" t="s">
        <v>46</v>
      </c>
      <c r="E100">
        <v>2092</v>
      </c>
      <c r="F100">
        <v>120</v>
      </c>
      <c r="G100">
        <v>7</v>
      </c>
      <c r="H100">
        <v>14644</v>
      </c>
      <c r="I100">
        <v>146.44</v>
      </c>
      <c r="J100">
        <v>14497.56</v>
      </c>
      <c r="K100">
        <v>10460</v>
      </c>
      <c r="L100">
        <v>4037.5599999999995</v>
      </c>
      <c r="M100">
        <v>41579</v>
      </c>
      <c r="N100">
        <v>11</v>
      </c>
      <c r="O100" t="s">
        <v>31</v>
      </c>
      <c r="P100" t="s">
        <v>14</v>
      </c>
    </row>
    <row r="101" spans="1:16" x14ac:dyDescent="0.35">
      <c r="A101" t="s">
        <v>10</v>
      </c>
      <c r="B101" t="s">
        <v>19</v>
      </c>
      <c r="C101" t="s">
        <v>42</v>
      </c>
      <c r="D101" t="s">
        <v>46</v>
      </c>
      <c r="E101">
        <v>263</v>
      </c>
      <c r="F101">
        <v>250</v>
      </c>
      <c r="G101">
        <v>7</v>
      </c>
      <c r="H101">
        <v>1841</v>
      </c>
      <c r="I101">
        <v>18.41</v>
      </c>
      <c r="J101">
        <v>1822.59</v>
      </c>
      <c r="K101">
        <v>1315</v>
      </c>
      <c r="L101">
        <v>507.58999999999992</v>
      </c>
      <c r="M101">
        <v>41699</v>
      </c>
      <c r="N101">
        <v>3</v>
      </c>
      <c r="O101" t="s">
        <v>23</v>
      </c>
      <c r="P101" t="s">
        <v>15</v>
      </c>
    </row>
    <row r="102" spans="1:16" x14ac:dyDescent="0.35">
      <c r="A102" t="s">
        <v>10</v>
      </c>
      <c r="B102" t="s">
        <v>16</v>
      </c>
      <c r="C102" t="s">
        <v>42</v>
      </c>
      <c r="D102" t="s">
        <v>46</v>
      </c>
      <c r="E102">
        <v>943.5</v>
      </c>
      <c r="F102">
        <v>250</v>
      </c>
      <c r="G102">
        <v>350</v>
      </c>
      <c r="H102">
        <v>330225</v>
      </c>
      <c r="I102">
        <v>3302.25</v>
      </c>
      <c r="J102">
        <v>326922.75</v>
      </c>
      <c r="K102">
        <v>245310</v>
      </c>
      <c r="L102">
        <v>81612.75</v>
      </c>
      <c r="M102">
        <v>41730</v>
      </c>
      <c r="N102">
        <v>4</v>
      </c>
      <c r="O102" t="s">
        <v>24</v>
      </c>
      <c r="P102" t="s">
        <v>15</v>
      </c>
    </row>
    <row r="103" spans="1:16" x14ac:dyDescent="0.35">
      <c r="A103" t="s">
        <v>9</v>
      </c>
      <c r="B103" t="s">
        <v>17</v>
      </c>
      <c r="C103" t="s">
        <v>42</v>
      </c>
      <c r="D103" t="s">
        <v>46</v>
      </c>
      <c r="E103">
        <v>727</v>
      </c>
      <c r="F103">
        <v>250</v>
      </c>
      <c r="G103">
        <v>125</v>
      </c>
      <c r="H103">
        <v>90875</v>
      </c>
      <c r="I103">
        <v>908.75</v>
      </c>
      <c r="J103">
        <v>89966.25</v>
      </c>
      <c r="K103">
        <v>87240</v>
      </c>
      <c r="L103">
        <v>2726.25</v>
      </c>
      <c r="M103">
        <v>41791</v>
      </c>
      <c r="N103">
        <v>6</v>
      </c>
      <c r="O103" t="s">
        <v>26</v>
      </c>
      <c r="P103" t="s">
        <v>15</v>
      </c>
    </row>
    <row r="104" spans="1:16" x14ac:dyDescent="0.35">
      <c r="A104" t="s">
        <v>9</v>
      </c>
      <c r="B104" t="s">
        <v>18</v>
      </c>
      <c r="C104" t="s">
        <v>42</v>
      </c>
      <c r="D104" t="s">
        <v>46</v>
      </c>
      <c r="E104">
        <v>787</v>
      </c>
      <c r="F104">
        <v>250</v>
      </c>
      <c r="G104">
        <v>125</v>
      </c>
      <c r="H104">
        <v>98375</v>
      </c>
      <c r="I104">
        <v>983.75</v>
      </c>
      <c r="J104">
        <v>97391.25</v>
      </c>
      <c r="K104">
        <v>94440</v>
      </c>
      <c r="L104">
        <v>2951.25</v>
      </c>
      <c r="M104">
        <v>41791</v>
      </c>
      <c r="N104">
        <v>6</v>
      </c>
      <c r="O104" t="s">
        <v>26</v>
      </c>
      <c r="P104" t="s">
        <v>15</v>
      </c>
    </row>
    <row r="105" spans="1:16" x14ac:dyDescent="0.35">
      <c r="A105" t="s">
        <v>7</v>
      </c>
      <c r="B105" t="s">
        <v>19</v>
      </c>
      <c r="C105" t="s">
        <v>42</v>
      </c>
      <c r="D105" t="s">
        <v>46</v>
      </c>
      <c r="E105">
        <v>986</v>
      </c>
      <c r="F105">
        <v>250</v>
      </c>
      <c r="G105">
        <v>300</v>
      </c>
      <c r="H105">
        <v>295800</v>
      </c>
      <c r="I105">
        <v>2958</v>
      </c>
      <c r="J105">
        <v>292842</v>
      </c>
      <c r="K105">
        <v>246500</v>
      </c>
      <c r="L105">
        <v>46342</v>
      </c>
      <c r="M105">
        <v>41883</v>
      </c>
      <c r="N105">
        <v>9</v>
      </c>
      <c r="O105" t="s">
        <v>29</v>
      </c>
      <c r="P105" t="s">
        <v>15</v>
      </c>
    </row>
    <row r="106" spans="1:16" x14ac:dyDescent="0.35">
      <c r="A106" t="s">
        <v>7</v>
      </c>
      <c r="B106" t="s">
        <v>20</v>
      </c>
      <c r="C106" t="s">
        <v>42</v>
      </c>
      <c r="D106" t="s">
        <v>46</v>
      </c>
      <c r="E106">
        <v>494</v>
      </c>
      <c r="F106">
        <v>250</v>
      </c>
      <c r="G106">
        <v>300</v>
      </c>
      <c r="H106">
        <v>148200</v>
      </c>
      <c r="I106">
        <v>1482</v>
      </c>
      <c r="J106">
        <v>146718</v>
      </c>
      <c r="K106">
        <v>123500</v>
      </c>
      <c r="L106">
        <v>23218</v>
      </c>
      <c r="M106">
        <v>41548</v>
      </c>
      <c r="N106">
        <v>10</v>
      </c>
      <c r="O106" t="s">
        <v>30</v>
      </c>
      <c r="P106" t="s">
        <v>14</v>
      </c>
    </row>
    <row r="107" spans="1:16" x14ac:dyDescent="0.35">
      <c r="A107" t="s">
        <v>10</v>
      </c>
      <c r="B107" t="s">
        <v>20</v>
      </c>
      <c r="C107" t="s">
        <v>42</v>
      </c>
      <c r="D107" t="s">
        <v>46</v>
      </c>
      <c r="E107">
        <v>1397</v>
      </c>
      <c r="F107">
        <v>250</v>
      </c>
      <c r="G107">
        <v>350</v>
      </c>
      <c r="H107">
        <v>488950</v>
      </c>
      <c r="I107">
        <v>4889.5</v>
      </c>
      <c r="J107">
        <v>484060.5</v>
      </c>
      <c r="K107">
        <v>363220</v>
      </c>
      <c r="L107">
        <v>120840.5</v>
      </c>
      <c r="M107">
        <v>41913</v>
      </c>
      <c r="N107">
        <v>10</v>
      </c>
      <c r="O107" t="s">
        <v>30</v>
      </c>
      <c r="P107" t="s">
        <v>15</v>
      </c>
    </row>
    <row r="108" spans="1:16" x14ac:dyDescent="0.35">
      <c r="A108" t="s">
        <v>9</v>
      </c>
      <c r="B108" t="s">
        <v>18</v>
      </c>
      <c r="C108" t="s">
        <v>42</v>
      </c>
      <c r="D108" t="s">
        <v>46</v>
      </c>
      <c r="E108">
        <v>1744</v>
      </c>
      <c r="F108">
        <v>250</v>
      </c>
      <c r="G108">
        <v>125</v>
      </c>
      <c r="H108">
        <v>218000</v>
      </c>
      <c r="I108">
        <v>2180</v>
      </c>
      <c r="J108">
        <v>215820</v>
      </c>
      <c r="K108">
        <v>209280</v>
      </c>
      <c r="L108">
        <v>6540</v>
      </c>
      <c r="M108">
        <v>41944</v>
      </c>
      <c r="N108">
        <v>11</v>
      </c>
      <c r="O108" t="s">
        <v>31</v>
      </c>
      <c r="P108" t="s">
        <v>15</v>
      </c>
    </row>
    <row r="109" spans="1:16" x14ac:dyDescent="0.35">
      <c r="A109" t="s">
        <v>11</v>
      </c>
      <c r="B109" t="s">
        <v>17</v>
      </c>
      <c r="C109" t="s">
        <v>43</v>
      </c>
      <c r="D109" t="s">
        <v>46</v>
      </c>
      <c r="E109">
        <v>1989</v>
      </c>
      <c r="F109">
        <v>260</v>
      </c>
      <c r="G109">
        <v>12</v>
      </c>
      <c r="H109">
        <v>23868</v>
      </c>
      <c r="I109">
        <v>238.68</v>
      </c>
      <c r="J109">
        <v>23629.32</v>
      </c>
      <c r="K109">
        <v>5967</v>
      </c>
      <c r="L109">
        <v>17662.32</v>
      </c>
      <c r="M109">
        <v>41518</v>
      </c>
      <c r="N109">
        <v>9</v>
      </c>
      <c r="O109" t="s">
        <v>29</v>
      </c>
      <c r="P109" t="s">
        <v>14</v>
      </c>
    </row>
    <row r="110" spans="1:16" x14ac:dyDescent="0.35">
      <c r="A110" t="s">
        <v>8</v>
      </c>
      <c r="B110" t="s">
        <v>18</v>
      </c>
      <c r="C110" t="s">
        <v>43</v>
      </c>
      <c r="D110" t="s">
        <v>46</v>
      </c>
      <c r="E110">
        <v>321</v>
      </c>
      <c r="F110">
        <v>260</v>
      </c>
      <c r="G110">
        <v>15</v>
      </c>
      <c r="H110">
        <v>4815</v>
      </c>
      <c r="I110">
        <v>48.15</v>
      </c>
      <c r="J110">
        <v>4766.8500000000004</v>
      </c>
      <c r="K110">
        <v>3210</v>
      </c>
      <c r="L110">
        <v>1556.8500000000004</v>
      </c>
      <c r="M110">
        <v>41579</v>
      </c>
      <c r="N110">
        <v>11</v>
      </c>
      <c r="O110" t="s">
        <v>31</v>
      </c>
      <c r="P110" t="s">
        <v>14</v>
      </c>
    </row>
    <row r="111" spans="1:16" x14ac:dyDescent="0.35">
      <c r="A111" t="s">
        <v>9</v>
      </c>
      <c r="B111" t="s">
        <v>16</v>
      </c>
      <c r="C111" t="s">
        <v>38</v>
      </c>
      <c r="D111" t="s">
        <v>46</v>
      </c>
      <c r="E111">
        <v>742.5</v>
      </c>
      <c r="F111">
        <v>3</v>
      </c>
      <c r="G111">
        <v>125</v>
      </c>
      <c r="H111">
        <v>92812.5</v>
      </c>
      <c r="I111">
        <v>1856.25</v>
      </c>
      <c r="J111">
        <v>90956.25</v>
      </c>
      <c r="K111">
        <v>89100</v>
      </c>
      <c r="L111">
        <v>1856.25</v>
      </c>
      <c r="M111">
        <v>41730</v>
      </c>
      <c r="N111">
        <v>4</v>
      </c>
      <c r="O111" t="s">
        <v>24</v>
      </c>
      <c r="P111" t="s">
        <v>15</v>
      </c>
    </row>
    <row r="112" spans="1:16" x14ac:dyDescent="0.35">
      <c r="A112" t="s">
        <v>11</v>
      </c>
      <c r="B112" t="s">
        <v>16</v>
      </c>
      <c r="C112" t="s">
        <v>38</v>
      </c>
      <c r="D112" t="s">
        <v>46</v>
      </c>
      <c r="E112">
        <v>1295</v>
      </c>
      <c r="F112">
        <v>3</v>
      </c>
      <c r="G112">
        <v>12</v>
      </c>
      <c r="H112">
        <v>15540</v>
      </c>
      <c r="I112">
        <v>310.8</v>
      </c>
      <c r="J112">
        <v>15229.2</v>
      </c>
      <c r="K112">
        <v>3885</v>
      </c>
      <c r="L112">
        <v>11344.2</v>
      </c>
      <c r="M112">
        <v>41913</v>
      </c>
      <c r="N112">
        <v>10</v>
      </c>
      <c r="O112" t="s">
        <v>30</v>
      </c>
      <c r="P112" t="s">
        <v>15</v>
      </c>
    </row>
    <row r="113" spans="1:16" x14ac:dyDescent="0.35">
      <c r="A113" t="s">
        <v>7</v>
      </c>
      <c r="B113" t="s">
        <v>19</v>
      </c>
      <c r="C113" t="s">
        <v>38</v>
      </c>
      <c r="D113" t="s">
        <v>46</v>
      </c>
      <c r="E113">
        <v>214</v>
      </c>
      <c r="F113">
        <v>3</v>
      </c>
      <c r="G113">
        <v>300</v>
      </c>
      <c r="H113">
        <v>64200</v>
      </c>
      <c r="I113">
        <v>1284</v>
      </c>
      <c r="J113">
        <v>62916</v>
      </c>
      <c r="K113">
        <v>53500</v>
      </c>
      <c r="L113">
        <v>9416</v>
      </c>
      <c r="M113">
        <v>41548</v>
      </c>
      <c r="N113">
        <v>10</v>
      </c>
      <c r="O113" t="s">
        <v>30</v>
      </c>
      <c r="P113" t="s">
        <v>14</v>
      </c>
    </row>
    <row r="114" spans="1:16" x14ac:dyDescent="0.35">
      <c r="A114" t="s">
        <v>10</v>
      </c>
      <c r="B114" t="s">
        <v>18</v>
      </c>
      <c r="C114" t="s">
        <v>38</v>
      </c>
      <c r="D114" t="s">
        <v>46</v>
      </c>
      <c r="E114">
        <v>2145</v>
      </c>
      <c r="F114">
        <v>3</v>
      </c>
      <c r="G114">
        <v>7</v>
      </c>
      <c r="H114">
        <v>15015</v>
      </c>
      <c r="I114">
        <v>300.3</v>
      </c>
      <c r="J114">
        <v>14714.7</v>
      </c>
      <c r="K114">
        <v>10725</v>
      </c>
      <c r="L114">
        <v>3989.7000000000007</v>
      </c>
      <c r="M114">
        <v>41579</v>
      </c>
      <c r="N114">
        <v>11</v>
      </c>
      <c r="O114" t="s">
        <v>31</v>
      </c>
      <c r="P114" t="s">
        <v>14</v>
      </c>
    </row>
    <row r="115" spans="1:16" x14ac:dyDescent="0.35">
      <c r="A115" t="s">
        <v>10</v>
      </c>
      <c r="B115" t="s">
        <v>16</v>
      </c>
      <c r="C115" t="s">
        <v>38</v>
      </c>
      <c r="D115" t="s">
        <v>46</v>
      </c>
      <c r="E115">
        <v>2852</v>
      </c>
      <c r="F115">
        <v>3</v>
      </c>
      <c r="G115">
        <v>350</v>
      </c>
      <c r="H115">
        <v>998200</v>
      </c>
      <c r="I115">
        <v>19964</v>
      </c>
      <c r="J115">
        <v>978236</v>
      </c>
      <c r="K115">
        <v>741520</v>
      </c>
      <c r="L115">
        <v>236716</v>
      </c>
      <c r="M115">
        <v>41974</v>
      </c>
      <c r="N115">
        <v>12</v>
      </c>
      <c r="O115" t="s">
        <v>32</v>
      </c>
      <c r="P115" t="s">
        <v>15</v>
      </c>
    </row>
    <row r="116" spans="1:16" x14ac:dyDescent="0.35">
      <c r="A116" t="s">
        <v>11</v>
      </c>
      <c r="B116" t="s">
        <v>17</v>
      </c>
      <c r="C116" t="s">
        <v>39</v>
      </c>
      <c r="D116" t="s">
        <v>46</v>
      </c>
      <c r="E116">
        <v>1142</v>
      </c>
      <c r="F116">
        <v>5</v>
      </c>
      <c r="G116">
        <v>12</v>
      </c>
      <c r="H116">
        <v>13704</v>
      </c>
      <c r="I116">
        <v>274.08</v>
      </c>
      <c r="J116">
        <v>13429.92</v>
      </c>
      <c r="K116">
        <v>3426</v>
      </c>
      <c r="L116">
        <v>10003.92</v>
      </c>
      <c r="M116">
        <v>41791</v>
      </c>
      <c r="N116">
        <v>6</v>
      </c>
      <c r="O116" t="s">
        <v>26</v>
      </c>
      <c r="P116" t="s">
        <v>15</v>
      </c>
    </row>
    <row r="117" spans="1:16" x14ac:dyDescent="0.35">
      <c r="A117" t="s">
        <v>10</v>
      </c>
      <c r="B117" t="s">
        <v>17</v>
      </c>
      <c r="C117" t="s">
        <v>39</v>
      </c>
      <c r="D117" t="s">
        <v>46</v>
      </c>
      <c r="E117">
        <v>1566</v>
      </c>
      <c r="F117">
        <v>5</v>
      </c>
      <c r="G117">
        <v>20</v>
      </c>
      <c r="H117">
        <v>31320</v>
      </c>
      <c r="I117">
        <v>626.4</v>
      </c>
      <c r="J117">
        <v>30693.599999999999</v>
      </c>
      <c r="K117">
        <v>15660</v>
      </c>
      <c r="L117">
        <v>15033.599999999999</v>
      </c>
      <c r="M117">
        <v>41913</v>
      </c>
      <c r="N117">
        <v>10</v>
      </c>
      <c r="O117" t="s">
        <v>30</v>
      </c>
      <c r="P117" t="s">
        <v>15</v>
      </c>
    </row>
    <row r="118" spans="1:16" x14ac:dyDescent="0.35">
      <c r="A118" t="s">
        <v>11</v>
      </c>
      <c r="B118" t="s">
        <v>20</v>
      </c>
      <c r="C118" t="s">
        <v>39</v>
      </c>
      <c r="D118" t="s">
        <v>46</v>
      </c>
      <c r="E118">
        <v>690</v>
      </c>
      <c r="F118">
        <v>5</v>
      </c>
      <c r="G118">
        <v>12</v>
      </c>
      <c r="H118">
        <v>8280</v>
      </c>
      <c r="I118">
        <v>165.6</v>
      </c>
      <c r="J118">
        <v>8114.4</v>
      </c>
      <c r="K118">
        <v>2070</v>
      </c>
      <c r="L118">
        <v>6044.4</v>
      </c>
      <c r="M118">
        <v>41944</v>
      </c>
      <c r="N118">
        <v>11</v>
      </c>
      <c r="O118" t="s">
        <v>31</v>
      </c>
      <c r="P118" t="s">
        <v>15</v>
      </c>
    </row>
    <row r="119" spans="1:16" x14ac:dyDescent="0.35">
      <c r="A119" t="s">
        <v>9</v>
      </c>
      <c r="B119" t="s">
        <v>20</v>
      </c>
      <c r="C119" t="s">
        <v>39</v>
      </c>
      <c r="D119" t="s">
        <v>46</v>
      </c>
      <c r="E119">
        <v>1660</v>
      </c>
      <c r="F119">
        <v>5</v>
      </c>
      <c r="G119">
        <v>125</v>
      </c>
      <c r="H119">
        <v>207500</v>
      </c>
      <c r="I119">
        <v>4150</v>
      </c>
      <c r="J119">
        <v>203350</v>
      </c>
      <c r="K119">
        <v>199200</v>
      </c>
      <c r="L119">
        <v>4150</v>
      </c>
      <c r="M119">
        <v>41579</v>
      </c>
      <c r="N119">
        <v>11</v>
      </c>
      <c r="O119" t="s">
        <v>31</v>
      </c>
      <c r="P119" t="s">
        <v>14</v>
      </c>
    </row>
    <row r="120" spans="1:16" x14ac:dyDescent="0.35">
      <c r="A120" t="s">
        <v>8</v>
      </c>
      <c r="B120" t="s">
        <v>16</v>
      </c>
      <c r="C120" t="s">
        <v>40</v>
      </c>
      <c r="D120" t="s">
        <v>46</v>
      </c>
      <c r="E120">
        <v>2363</v>
      </c>
      <c r="F120">
        <v>10</v>
      </c>
      <c r="G120">
        <v>15</v>
      </c>
      <c r="H120">
        <v>35445</v>
      </c>
      <c r="I120">
        <v>708.9</v>
      </c>
      <c r="J120">
        <v>34736.1</v>
      </c>
      <c r="K120">
        <v>23630</v>
      </c>
      <c r="L120">
        <v>11106.099999999999</v>
      </c>
      <c r="M120">
        <v>41671</v>
      </c>
      <c r="N120">
        <v>2</v>
      </c>
      <c r="O120" t="s">
        <v>22</v>
      </c>
      <c r="P120" t="s">
        <v>15</v>
      </c>
    </row>
    <row r="121" spans="1:16" x14ac:dyDescent="0.35">
      <c r="A121" t="s">
        <v>7</v>
      </c>
      <c r="B121" t="s">
        <v>18</v>
      </c>
      <c r="C121" t="s">
        <v>40</v>
      </c>
      <c r="D121" t="s">
        <v>46</v>
      </c>
      <c r="E121">
        <v>918</v>
      </c>
      <c r="F121">
        <v>10</v>
      </c>
      <c r="G121">
        <v>300</v>
      </c>
      <c r="H121">
        <v>275400</v>
      </c>
      <c r="I121">
        <v>5508</v>
      </c>
      <c r="J121">
        <v>269892</v>
      </c>
      <c r="K121">
        <v>229500</v>
      </c>
      <c r="L121">
        <v>40392</v>
      </c>
      <c r="M121">
        <v>41760</v>
      </c>
      <c r="N121">
        <v>5</v>
      </c>
      <c r="O121" t="s">
        <v>25</v>
      </c>
      <c r="P121" t="s">
        <v>15</v>
      </c>
    </row>
    <row r="122" spans="1:16" x14ac:dyDescent="0.35">
      <c r="A122" t="s">
        <v>7</v>
      </c>
      <c r="B122" t="s">
        <v>19</v>
      </c>
      <c r="C122" t="s">
        <v>40</v>
      </c>
      <c r="D122" t="s">
        <v>46</v>
      </c>
      <c r="E122">
        <v>1728</v>
      </c>
      <c r="F122">
        <v>10</v>
      </c>
      <c r="G122">
        <v>300</v>
      </c>
      <c r="H122">
        <v>518400</v>
      </c>
      <c r="I122">
        <v>10368</v>
      </c>
      <c r="J122">
        <v>508032</v>
      </c>
      <c r="K122">
        <v>432000</v>
      </c>
      <c r="L122">
        <v>76032</v>
      </c>
      <c r="M122">
        <v>41760</v>
      </c>
      <c r="N122">
        <v>5</v>
      </c>
      <c r="O122" t="s">
        <v>25</v>
      </c>
      <c r="P122" t="s">
        <v>15</v>
      </c>
    </row>
    <row r="123" spans="1:16" x14ac:dyDescent="0.35">
      <c r="A123" t="s">
        <v>11</v>
      </c>
      <c r="B123" t="s">
        <v>17</v>
      </c>
      <c r="C123" t="s">
        <v>40</v>
      </c>
      <c r="D123" t="s">
        <v>46</v>
      </c>
      <c r="E123">
        <v>1142</v>
      </c>
      <c r="F123">
        <v>10</v>
      </c>
      <c r="G123">
        <v>12</v>
      </c>
      <c r="H123">
        <v>13704</v>
      </c>
      <c r="I123">
        <v>274.08</v>
      </c>
      <c r="J123">
        <v>13429.92</v>
      </c>
      <c r="K123">
        <v>3426</v>
      </c>
      <c r="L123">
        <v>10003.92</v>
      </c>
      <c r="M123">
        <v>41791</v>
      </c>
      <c r="N123">
        <v>6</v>
      </c>
      <c r="O123" t="s">
        <v>26</v>
      </c>
      <c r="P123" t="s">
        <v>15</v>
      </c>
    </row>
    <row r="124" spans="1:16" x14ac:dyDescent="0.35">
      <c r="A124" t="s">
        <v>9</v>
      </c>
      <c r="B124" t="s">
        <v>20</v>
      </c>
      <c r="C124" t="s">
        <v>40</v>
      </c>
      <c r="D124" t="s">
        <v>46</v>
      </c>
      <c r="E124">
        <v>662</v>
      </c>
      <c r="F124">
        <v>10</v>
      </c>
      <c r="G124">
        <v>125</v>
      </c>
      <c r="H124">
        <v>82750</v>
      </c>
      <c r="I124">
        <v>1655</v>
      </c>
      <c r="J124">
        <v>81095</v>
      </c>
      <c r="K124">
        <v>79440</v>
      </c>
      <c r="L124">
        <v>1655</v>
      </c>
      <c r="M124">
        <v>41791</v>
      </c>
      <c r="N124">
        <v>6</v>
      </c>
      <c r="O124" t="s">
        <v>26</v>
      </c>
      <c r="P124" t="s">
        <v>15</v>
      </c>
    </row>
    <row r="125" spans="1:16" x14ac:dyDescent="0.35">
      <c r="A125" t="s">
        <v>11</v>
      </c>
      <c r="B125" t="s">
        <v>16</v>
      </c>
      <c r="C125" t="s">
        <v>40</v>
      </c>
      <c r="D125" t="s">
        <v>46</v>
      </c>
      <c r="E125">
        <v>1295</v>
      </c>
      <c r="F125">
        <v>10</v>
      </c>
      <c r="G125">
        <v>12</v>
      </c>
      <c r="H125">
        <v>15540</v>
      </c>
      <c r="I125">
        <v>310.8</v>
      </c>
      <c r="J125">
        <v>15229.2</v>
      </c>
      <c r="K125">
        <v>3885</v>
      </c>
      <c r="L125">
        <v>11344.2</v>
      </c>
      <c r="M125">
        <v>41913</v>
      </c>
      <c r="N125">
        <v>10</v>
      </c>
      <c r="O125" t="s">
        <v>30</v>
      </c>
      <c r="P125" t="s">
        <v>15</v>
      </c>
    </row>
    <row r="126" spans="1:16" x14ac:dyDescent="0.35">
      <c r="A126" t="s">
        <v>9</v>
      </c>
      <c r="B126" t="s">
        <v>19</v>
      </c>
      <c r="C126" t="s">
        <v>40</v>
      </c>
      <c r="D126" t="s">
        <v>46</v>
      </c>
      <c r="E126">
        <v>809</v>
      </c>
      <c r="F126">
        <v>10</v>
      </c>
      <c r="G126">
        <v>125</v>
      </c>
      <c r="H126">
        <v>101125</v>
      </c>
      <c r="I126">
        <v>2022.5</v>
      </c>
      <c r="J126">
        <v>99102.5</v>
      </c>
      <c r="K126">
        <v>97080</v>
      </c>
      <c r="L126">
        <v>2022.5</v>
      </c>
      <c r="M126">
        <v>41548</v>
      </c>
      <c r="N126">
        <v>10</v>
      </c>
      <c r="O126" t="s">
        <v>30</v>
      </c>
      <c r="P126" t="s">
        <v>14</v>
      </c>
    </row>
    <row r="127" spans="1:16" x14ac:dyDescent="0.35">
      <c r="A127" t="s">
        <v>9</v>
      </c>
      <c r="B127" t="s">
        <v>20</v>
      </c>
      <c r="C127" t="s">
        <v>40</v>
      </c>
      <c r="D127" t="s">
        <v>46</v>
      </c>
      <c r="E127">
        <v>2145</v>
      </c>
      <c r="F127">
        <v>10</v>
      </c>
      <c r="G127">
        <v>125</v>
      </c>
      <c r="H127">
        <v>268125</v>
      </c>
      <c r="I127">
        <v>5362.5</v>
      </c>
      <c r="J127">
        <v>262762.5</v>
      </c>
      <c r="K127">
        <v>257400</v>
      </c>
      <c r="L127">
        <v>5362.5</v>
      </c>
      <c r="M127">
        <v>41548</v>
      </c>
      <c r="N127">
        <v>10</v>
      </c>
      <c r="O127" t="s">
        <v>30</v>
      </c>
      <c r="P127" t="s">
        <v>14</v>
      </c>
    </row>
    <row r="128" spans="1:16" x14ac:dyDescent="0.35">
      <c r="A128" t="s">
        <v>11</v>
      </c>
      <c r="B128" t="s">
        <v>18</v>
      </c>
      <c r="C128" t="s">
        <v>40</v>
      </c>
      <c r="D128" t="s">
        <v>46</v>
      </c>
      <c r="E128">
        <v>1785</v>
      </c>
      <c r="F128">
        <v>10</v>
      </c>
      <c r="G128">
        <v>12</v>
      </c>
      <c r="H128">
        <v>21420</v>
      </c>
      <c r="I128">
        <v>428.4</v>
      </c>
      <c r="J128">
        <v>20991.599999999999</v>
      </c>
      <c r="K128">
        <v>5355</v>
      </c>
      <c r="L128">
        <v>15636.599999999999</v>
      </c>
      <c r="M128">
        <v>41579</v>
      </c>
      <c r="N128">
        <v>11</v>
      </c>
      <c r="O128" t="s">
        <v>31</v>
      </c>
      <c r="P128" t="s">
        <v>14</v>
      </c>
    </row>
    <row r="129" spans="1:16" x14ac:dyDescent="0.35">
      <c r="A129" t="s">
        <v>7</v>
      </c>
      <c r="B129" t="s">
        <v>16</v>
      </c>
      <c r="C129" t="s">
        <v>40</v>
      </c>
      <c r="D129" t="s">
        <v>46</v>
      </c>
      <c r="E129">
        <v>1916</v>
      </c>
      <c r="F129">
        <v>10</v>
      </c>
      <c r="G129">
        <v>300</v>
      </c>
      <c r="H129">
        <v>574800</v>
      </c>
      <c r="I129">
        <v>11496</v>
      </c>
      <c r="J129">
        <v>563304</v>
      </c>
      <c r="K129">
        <v>479000</v>
      </c>
      <c r="L129">
        <v>84304</v>
      </c>
      <c r="M129">
        <v>41974</v>
      </c>
      <c r="N129">
        <v>12</v>
      </c>
      <c r="O129" t="s">
        <v>32</v>
      </c>
      <c r="P129" t="s">
        <v>15</v>
      </c>
    </row>
    <row r="130" spans="1:16" x14ac:dyDescent="0.35">
      <c r="A130" t="s">
        <v>10</v>
      </c>
      <c r="B130" t="s">
        <v>16</v>
      </c>
      <c r="C130" t="s">
        <v>40</v>
      </c>
      <c r="D130" t="s">
        <v>46</v>
      </c>
      <c r="E130">
        <v>2852</v>
      </c>
      <c r="F130">
        <v>10</v>
      </c>
      <c r="G130">
        <v>350</v>
      </c>
      <c r="H130">
        <v>998200</v>
      </c>
      <c r="I130">
        <v>19964</v>
      </c>
      <c r="J130">
        <v>978236</v>
      </c>
      <c r="K130">
        <v>741520</v>
      </c>
      <c r="L130">
        <v>236716</v>
      </c>
      <c r="M130">
        <v>41974</v>
      </c>
      <c r="N130">
        <v>12</v>
      </c>
      <c r="O130" t="s">
        <v>32</v>
      </c>
      <c r="P130" t="s">
        <v>15</v>
      </c>
    </row>
    <row r="131" spans="1:16" x14ac:dyDescent="0.35">
      <c r="A131" t="s">
        <v>9</v>
      </c>
      <c r="B131" t="s">
        <v>16</v>
      </c>
      <c r="C131" t="s">
        <v>40</v>
      </c>
      <c r="D131" t="s">
        <v>46</v>
      </c>
      <c r="E131">
        <v>2729</v>
      </c>
      <c r="F131">
        <v>10</v>
      </c>
      <c r="G131">
        <v>125</v>
      </c>
      <c r="H131">
        <v>341125</v>
      </c>
      <c r="I131">
        <v>6822.5</v>
      </c>
      <c r="J131">
        <v>334302.5</v>
      </c>
      <c r="K131">
        <v>327480</v>
      </c>
      <c r="L131">
        <v>6822.5</v>
      </c>
      <c r="M131">
        <v>41974</v>
      </c>
      <c r="N131">
        <v>12</v>
      </c>
      <c r="O131" t="s">
        <v>32</v>
      </c>
      <c r="P131" t="s">
        <v>15</v>
      </c>
    </row>
    <row r="132" spans="1:16" x14ac:dyDescent="0.35">
      <c r="A132" t="s">
        <v>8</v>
      </c>
      <c r="B132" t="s">
        <v>17</v>
      </c>
      <c r="C132" t="s">
        <v>40</v>
      </c>
      <c r="D132" t="s">
        <v>46</v>
      </c>
      <c r="E132">
        <v>1925</v>
      </c>
      <c r="F132">
        <v>10</v>
      </c>
      <c r="G132">
        <v>15</v>
      </c>
      <c r="H132">
        <v>28875</v>
      </c>
      <c r="I132">
        <v>577.5</v>
      </c>
      <c r="J132">
        <v>28297.5</v>
      </c>
      <c r="K132">
        <v>19250</v>
      </c>
      <c r="L132">
        <v>9047.5</v>
      </c>
      <c r="M132">
        <v>41609</v>
      </c>
      <c r="N132">
        <v>12</v>
      </c>
      <c r="O132" t="s">
        <v>32</v>
      </c>
      <c r="P132" t="s">
        <v>14</v>
      </c>
    </row>
    <row r="133" spans="1:16" x14ac:dyDescent="0.35">
      <c r="A133" t="s">
        <v>10</v>
      </c>
      <c r="B133" t="s">
        <v>17</v>
      </c>
      <c r="C133" t="s">
        <v>40</v>
      </c>
      <c r="D133" t="s">
        <v>46</v>
      </c>
      <c r="E133">
        <v>2013</v>
      </c>
      <c r="F133">
        <v>10</v>
      </c>
      <c r="G133">
        <v>7</v>
      </c>
      <c r="H133">
        <v>14091</v>
      </c>
      <c r="I133">
        <v>281.82</v>
      </c>
      <c r="J133">
        <v>13809.18</v>
      </c>
      <c r="K133">
        <v>10065</v>
      </c>
      <c r="L133">
        <v>3744.1800000000003</v>
      </c>
      <c r="M133">
        <v>41609</v>
      </c>
      <c r="N133">
        <v>12</v>
      </c>
      <c r="O133" t="s">
        <v>32</v>
      </c>
      <c r="P133" t="s">
        <v>14</v>
      </c>
    </row>
    <row r="134" spans="1:16" x14ac:dyDescent="0.35">
      <c r="A134" t="s">
        <v>11</v>
      </c>
      <c r="B134" t="s">
        <v>18</v>
      </c>
      <c r="C134" t="s">
        <v>40</v>
      </c>
      <c r="D134" t="s">
        <v>46</v>
      </c>
      <c r="E134">
        <v>1055</v>
      </c>
      <c r="F134">
        <v>10</v>
      </c>
      <c r="G134">
        <v>12</v>
      </c>
      <c r="H134">
        <v>12660</v>
      </c>
      <c r="I134">
        <v>253.2</v>
      </c>
      <c r="J134">
        <v>12406.8</v>
      </c>
      <c r="K134">
        <v>3165</v>
      </c>
      <c r="L134">
        <v>9241.7999999999993</v>
      </c>
      <c r="M134">
        <v>41974</v>
      </c>
      <c r="N134">
        <v>12</v>
      </c>
      <c r="O134" t="s">
        <v>32</v>
      </c>
      <c r="P134" t="s">
        <v>15</v>
      </c>
    </row>
    <row r="135" spans="1:16" x14ac:dyDescent="0.35">
      <c r="A135" t="s">
        <v>11</v>
      </c>
      <c r="B135" t="s">
        <v>20</v>
      </c>
      <c r="C135" t="s">
        <v>40</v>
      </c>
      <c r="D135" t="s">
        <v>46</v>
      </c>
      <c r="E135">
        <v>1084</v>
      </c>
      <c r="F135">
        <v>10</v>
      </c>
      <c r="G135">
        <v>12</v>
      </c>
      <c r="H135">
        <v>13008</v>
      </c>
      <c r="I135">
        <v>260.16000000000003</v>
      </c>
      <c r="J135">
        <v>12747.84</v>
      </c>
      <c r="K135">
        <v>3252</v>
      </c>
      <c r="L135">
        <v>9495.84</v>
      </c>
      <c r="M135">
        <v>41974</v>
      </c>
      <c r="N135">
        <v>12</v>
      </c>
      <c r="O135" t="s">
        <v>32</v>
      </c>
      <c r="P135" t="s">
        <v>15</v>
      </c>
    </row>
    <row r="136" spans="1:16" x14ac:dyDescent="0.35">
      <c r="A136" t="s">
        <v>10</v>
      </c>
      <c r="B136" t="s">
        <v>17</v>
      </c>
      <c r="C136" t="s">
        <v>41</v>
      </c>
      <c r="D136" t="s">
        <v>46</v>
      </c>
      <c r="E136">
        <v>1566</v>
      </c>
      <c r="F136">
        <v>120</v>
      </c>
      <c r="G136">
        <v>20</v>
      </c>
      <c r="H136">
        <v>31320</v>
      </c>
      <c r="I136">
        <v>626.4</v>
      </c>
      <c r="J136">
        <v>30693.599999999999</v>
      </c>
      <c r="K136">
        <v>15660</v>
      </c>
      <c r="L136">
        <v>15033.599999999999</v>
      </c>
      <c r="M136">
        <v>41913</v>
      </c>
      <c r="N136">
        <v>10</v>
      </c>
      <c r="O136" t="s">
        <v>30</v>
      </c>
      <c r="P136" t="s">
        <v>15</v>
      </c>
    </row>
    <row r="137" spans="1:16" x14ac:dyDescent="0.35">
      <c r="A137" t="s">
        <v>10</v>
      </c>
      <c r="B137" t="s">
        <v>19</v>
      </c>
      <c r="C137" t="s">
        <v>41</v>
      </c>
      <c r="D137" t="s">
        <v>46</v>
      </c>
      <c r="E137">
        <v>2966</v>
      </c>
      <c r="F137">
        <v>120</v>
      </c>
      <c r="G137">
        <v>350</v>
      </c>
      <c r="H137">
        <v>1038100</v>
      </c>
      <c r="I137">
        <v>20762</v>
      </c>
      <c r="J137">
        <v>1017338</v>
      </c>
      <c r="K137">
        <v>771160</v>
      </c>
      <c r="L137">
        <v>246178</v>
      </c>
      <c r="M137">
        <v>41548</v>
      </c>
      <c r="N137">
        <v>10</v>
      </c>
      <c r="O137" t="s">
        <v>30</v>
      </c>
      <c r="P137" t="s">
        <v>14</v>
      </c>
    </row>
    <row r="138" spans="1:16" x14ac:dyDescent="0.35">
      <c r="A138" t="s">
        <v>10</v>
      </c>
      <c r="B138" t="s">
        <v>19</v>
      </c>
      <c r="C138" t="s">
        <v>41</v>
      </c>
      <c r="D138" t="s">
        <v>46</v>
      </c>
      <c r="E138">
        <v>2877</v>
      </c>
      <c r="F138">
        <v>120</v>
      </c>
      <c r="G138">
        <v>350</v>
      </c>
      <c r="H138">
        <v>1006950</v>
      </c>
      <c r="I138">
        <v>20139</v>
      </c>
      <c r="J138">
        <v>986811</v>
      </c>
      <c r="K138">
        <v>748020</v>
      </c>
      <c r="L138">
        <v>238791</v>
      </c>
      <c r="M138">
        <v>41913</v>
      </c>
      <c r="N138">
        <v>10</v>
      </c>
      <c r="O138" t="s">
        <v>30</v>
      </c>
      <c r="P138" t="s">
        <v>15</v>
      </c>
    </row>
    <row r="139" spans="1:16" x14ac:dyDescent="0.35">
      <c r="A139" t="s">
        <v>9</v>
      </c>
      <c r="B139" t="s">
        <v>19</v>
      </c>
      <c r="C139" t="s">
        <v>41</v>
      </c>
      <c r="D139" t="s">
        <v>46</v>
      </c>
      <c r="E139">
        <v>809</v>
      </c>
      <c r="F139">
        <v>120</v>
      </c>
      <c r="G139">
        <v>125</v>
      </c>
      <c r="H139">
        <v>101125</v>
      </c>
      <c r="I139">
        <v>2022.5</v>
      </c>
      <c r="J139">
        <v>99102.5</v>
      </c>
      <c r="K139">
        <v>97080</v>
      </c>
      <c r="L139">
        <v>2022.5</v>
      </c>
      <c r="M139">
        <v>41548</v>
      </c>
      <c r="N139">
        <v>10</v>
      </c>
      <c r="O139" t="s">
        <v>30</v>
      </c>
      <c r="P139" t="s">
        <v>14</v>
      </c>
    </row>
    <row r="140" spans="1:16" x14ac:dyDescent="0.35">
      <c r="A140" t="s">
        <v>9</v>
      </c>
      <c r="B140" t="s">
        <v>20</v>
      </c>
      <c r="C140" t="s">
        <v>41</v>
      </c>
      <c r="D140" t="s">
        <v>46</v>
      </c>
      <c r="E140">
        <v>2145</v>
      </c>
      <c r="F140">
        <v>120</v>
      </c>
      <c r="G140">
        <v>125</v>
      </c>
      <c r="H140">
        <v>268125</v>
      </c>
      <c r="I140">
        <v>5362.5</v>
      </c>
      <c r="J140">
        <v>262762.5</v>
      </c>
      <c r="K140">
        <v>257400</v>
      </c>
      <c r="L140">
        <v>5362.5</v>
      </c>
      <c r="M140">
        <v>41548</v>
      </c>
      <c r="N140">
        <v>10</v>
      </c>
      <c r="O140" t="s">
        <v>30</v>
      </c>
      <c r="P140" t="s">
        <v>14</v>
      </c>
    </row>
    <row r="141" spans="1:16" x14ac:dyDescent="0.35">
      <c r="A141" t="s">
        <v>11</v>
      </c>
      <c r="B141" t="s">
        <v>18</v>
      </c>
      <c r="C141" t="s">
        <v>41</v>
      </c>
      <c r="D141" t="s">
        <v>46</v>
      </c>
      <c r="E141">
        <v>1055</v>
      </c>
      <c r="F141">
        <v>120</v>
      </c>
      <c r="G141">
        <v>12</v>
      </c>
      <c r="H141">
        <v>12660</v>
      </c>
      <c r="I141">
        <v>253.2</v>
      </c>
      <c r="J141">
        <v>12406.8</v>
      </c>
      <c r="K141">
        <v>3165</v>
      </c>
      <c r="L141">
        <v>9241.7999999999993</v>
      </c>
      <c r="M141">
        <v>41974</v>
      </c>
      <c r="N141">
        <v>12</v>
      </c>
      <c r="O141" t="s">
        <v>32</v>
      </c>
      <c r="P141" t="s">
        <v>15</v>
      </c>
    </row>
    <row r="142" spans="1:16" x14ac:dyDescent="0.35">
      <c r="A142" t="s">
        <v>10</v>
      </c>
      <c r="B142" t="s">
        <v>20</v>
      </c>
      <c r="C142" t="s">
        <v>41</v>
      </c>
      <c r="D142" t="s">
        <v>46</v>
      </c>
      <c r="E142">
        <v>544</v>
      </c>
      <c r="F142">
        <v>120</v>
      </c>
      <c r="G142">
        <v>20</v>
      </c>
      <c r="H142">
        <v>10880</v>
      </c>
      <c r="I142">
        <v>217.6</v>
      </c>
      <c r="J142">
        <v>10662.4</v>
      </c>
      <c r="K142">
        <v>5440</v>
      </c>
      <c r="L142">
        <v>5222.3999999999996</v>
      </c>
      <c r="M142">
        <v>41609</v>
      </c>
      <c r="N142">
        <v>12</v>
      </c>
      <c r="O142" t="s">
        <v>32</v>
      </c>
      <c r="P142" t="s">
        <v>14</v>
      </c>
    </row>
    <row r="143" spans="1:16" x14ac:dyDescent="0.35">
      <c r="A143" t="s">
        <v>11</v>
      </c>
      <c r="B143" t="s">
        <v>20</v>
      </c>
      <c r="C143" t="s">
        <v>41</v>
      </c>
      <c r="D143" t="s">
        <v>46</v>
      </c>
      <c r="E143">
        <v>1084</v>
      </c>
      <c r="F143">
        <v>120</v>
      </c>
      <c r="G143">
        <v>12</v>
      </c>
      <c r="H143">
        <v>13008</v>
      </c>
      <c r="I143">
        <v>260.16000000000003</v>
      </c>
      <c r="J143">
        <v>12747.84</v>
      </c>
      <c r="K143">
        <v>3252</v>
      </c>
      <c r="L143">
        <v>9495.84</v>
      </c>
      <c r="M143">
        <v>41974</v>
      </c>
      <c r="N143">
        <v>12</v>
      </c>
      <c r="O143" t="s">
        <v>32</v>
      </c>
      <c r="P143" t="s">
        <v>15</v>
      </c>
    </row>
    <row r="144" spans="1:16" x14ac:dyDescent="0.35">
      <c r="A144" t="s">
        <v>9</v>
      </c>
      <c r="B144" t="s">
        <v>20</v>
      </c>
      <c r="C144" t="s">
        <v>42</v>
      </c>
      <c r="D144" t="s">
        <v>46</v>
      </c>
      <c r="E144">
        <v>662</v>
      </c>
      <c r="F144">
        <v>250</v>
      </c>
      <c r="G144">
        <v>125</v>
      </c>
      <c r="H144">
        <v>82750</v>
      </c>
      <c r="I144">
        <v>1655</v>
      </c>
      <c r="J144">
        <v>81095</v>
      </c>
      <c r="K144">
        <v>79440</v>
      </c>
      <c r="L144">
        <v>1655</v>
      </c>
      <c r="M144">
        <v>41791</v>
      </c>
      <c r="N144">
        <v>6</v>
      </c>
      <c r="O144" t="s">
        <v>26</v>
      </c>
      <c r="P144" t="s">
        <v>15</v>
      </c>
    </row>
    <row r="145" spans="1:16" x14ac:dyDescent="0.35">
      <c r="A145" t="s">
        <v>7</v>
      </c>
      <c r="B145" t="s">
        <v>19</v>
      </c>
      <c r="C145" t="s">
        <v>42</v>
      </c>
      <c r="D145" t="s">
        <v>46</v>
      </c>
      <c r="E145">
        <v>214</v>
      </c>
      <c r="F145">
        <v>250</v>
      </c>
      <c r="G145">
        <v>300</v>
      </c>
      <c r="H145">
        <v>64200</v>
      </c>
      <c r="I145">
        <v>1284</v>
      </c>
      <c r="J145">
        <v>62916</v>
      </c>
      <c r="K145">
        <v>53500</v>
      </c>
      <c r="L145">
        <v>9416</v>
      </c>
      <c r="M145">
        <v>41548</v>
      </c>
      <c r="N145">
        <v>10</v>
      </c>
      <c r="O145" t="s">
        <v>30</v>
      </c>
      <c r="P145" t="s">
        <v>14</v>
      </c>
    </row>
    <row r="146" spans="1:16" x14ac:dyDescent="0.35">
      <c r="A146" t="s">
        <v>10</v>
      </c>
      <c r="B146" t="s">
        <v>19</v>
      </c>
      <c r="C146" t="s">
        <v>42</v>
      </c>
      <c r="D146" t="s">
        <v>46</v>
      </c>
      <c r="E146">
        <v>2877</v>
      </c>
      <c r="F146">
        <v>250</v>
      </c>
      <c r="G146">
        <v>350</v>
      </c>
      <c r="H146">
        <v>1006950</v>
      </c>
      <c r="I146">
        <v>20139</v>
      </c>
      <c r="J146">
        <v>986811</v>
      </c>
      <c r="K146">
        <v>748020</v>
      </c>
      <c r="L146">
        <v>238791</v>
      </c>
      <c r="M146">
        <v>41913</v>
      </c>
      <c r="N146">
        <v>10</v>
      </c>
      <c r="O146" t="s">
        <v>30</v>
      </c>
      <c r="P146" t="s">
        <v>15</v>
      </c>
    </row>
    <row r="147" spans="1:16" x14ac:dyDescent="0.35">
      <c r="A147" t="s">
        <v>9</v>
      </c>
      <c r="B147" t="s">
        <v>16</v>
      </c>
      <c r="C147" t="s">
        <v>42</v>
      </c>
      <c r="D147" t="s">
        <v>46</v>
      </c>
      <c r="E147">
        <v>2729</v>
      </c>
      <c r="F147">
        <v>250</v>
      </c>
      <c r="G147">
        <v>125</v>
      </c>
      <c r="H147">
        <v>341125</v>
      </c>
      <c r="I147">
        <v>6822.5</v>
      </c>
      <c r="J147">
        <v>334302.5</v>
      </c>
      <c r="K147">
        <v>327480</v>
      </c>
      <c r="L147">
        <v>6822.5</v>
      </c>
      <c r="M147">
        <v>41974</v>
      </c>
      <c r="N147">
        <v>12</v>
      </c>
      <c r="O147" t="s">
        <v>32</v>
      </c>
      <c r="P147" t="s">
        <v>15</v>
      </c>
    </row>
    <row r="148" spans="1:16" x14ac:dyDescent="0.35">
      <c r="A148" t="s">
        <v>10</v>
      </c>
      <c r="B148" t="s">
        <v>17</v>
      </c>
      <c r="C148" t="s">
        <v>42</v>
      </c>
      <c r="D148" t="s">
        <v>46</v>
      </c>
      <c r="E148">
        <v>266</v>
      </c>
      <c r="F148">
        <v>250</v>
      </c>
      <c r="G148">
        <v>350</v>
      </c>
      <c r="H148">
        <v>93100</v>
      </c>
      <c r="I148">
        <v>1862</v>
      </c>
      <c r="J148">
        <v>91238</v>
      </c>
      <c r="K148">
        <v>69160</v>
      </c>
      <c r="L148">
        <v>22078</v>
      </c>
      <c r="M148">
        <v>41609</v>
      </c>
      <c r="N148">
        <v>12</v>
      </c>
      <c r="O148" t="s">
        <v>32</v>
      </c>
      <c r="P148" t="s">
        <v>14</v>
      </c>
    </row>
    <row r="149" spans="1:16" x14ac:dyDescent="0.35">
      <c r="A149" t="s">
        <v>10</v>
      </c>
      <c r="B149" t="s">
        <v>20</v>
      </c>
      <c r="C149" t="s">
        <v>42</v>
      </c>
      <c r="D149" t="s">
        <v>46</v>
      </c>
      <c r="E149">
        <v>1940</v>
      </c>
      <c r="F149">
        <v>250</v>
      </c>
      <c r="G149">
        <v>350</v>
      </c>
      <c r="H149">
        <v>679000</v>
      </c>
      <c r="I149">
        <v>13580</v>
      </c>
      <c r="J149">
        <v>665420</v>
      </c>
      <c r="K149">
        <v>504400</v>
      </c>
      <c r="L149">
        <v>161020</v>
      </c>
      <c r="M149">
        <v>41609</v>
      </c>
      <c r="N149">
        <v>12</v>
      </c>
      <c r="O149" t="s">
        <v>32</v>
      </c>
      <c r="P149" t="s">
        <v>14</v>
      </c>
    </row>
    <row r="150" spans="1:16" x14ac:dyDescent="0.35">
      <c r="A150" t="s">
        <v>7</v>
      </c>
      <c r="B150" t="s">
        <v>19</v>
      </c>
      <c r="C150" t="s">
        <v>43</v>
      </c>
      <c r="D150" t="s">
        <v>46</v>
      </c>
      <c r="E150">
        <v>259</v>
      </c>
      <c r="F150">
        <v>260</v>
      </c>
      <c r="G150">
        <v>300</v>
      </c>
      <c r="H150">
        <v>77700</v>
      </c>
      <c r="I150">
        <v>1554</v>
      </c>
      <c r="J150">
        <v>76146</v>
      </c>
      <c r="K150">
        <v>64750</v>
      </c>
      <c r="L150">
        <v>11396</v>
      </c>
      <c r="M150">
        <v>41699</v>
      </c>
      <c r="N150">
        <v>3</v>
      </c>
      <c r="O150" t="s">
        <v>23</v>
      </c>
      <c r="P150" t="s">
        <v>15</v>
      </c>
    </row>
    <row r="151" spans="1:16" x14ac:dyDescent="0.35">
      <c r="A151" t="s">
        <v>7</v>
      </c>
      <c r="B151" t="s">
        <v>20</v>
      </c>
      <c r="C151" t="s">
        <v>43</v>
      </c>
      <c r="D151" t="s">
        <v>46</v>
      </c>
      <c r="E151">
        <v>1101</v>
      </c>
      <c r="F151">
        <v>260</v>
      </c>
      <c r="G151">
        <v>300</v>
      </c>
      <c r="H151">
        <v>330300</v>
      </c>
      <c r="I151">
        <v>6606</v>
      </c>
      <c r="J151">
        <v>323694</v>
      </c>
      <c r="K151">
        <v>275250</v>
      </c>
      <c r="L151">
        <v>48444</v>
      </c>
      <c r="M151">
        <v>41699</v>
      </c>
      <c r="N151">
        <v>3</v>
      </c>
      <c r="O151" t="s">
        <v>23</v>
      </c>
      <c r="P151" t="s">
        <v>15</v>
      </c>
    </row>
    <row r="152" spans="1:16" x14ac:dyDescent="0.35">
      <c r="A152" t="s">
        <v>9</v>
      </c>
      <c r="B152" t="s">
        <v>19</v>
      </c>
      <c r="C152" t="s">
        <v>43</v>
      </c>
      <c r="D152" t="s">
        <v>46</v>
      </c>
      <c r="E152">
        <v>2276</v>
      </c>
      <c r="F152">
        <v>260</v>
      </c>
      <c r="G152">
        <v>125</v>
      </c>
      <c r="H152">
        <v>284500</v>
      </c>
      <c r="I152">
        <v>5690</v>
      </c>
      <c r="J152">
        <v>278810</v>
      </c>
      <c r="K152">
        <v>273120</v>
      </c>
      <c r="L152">
        <v>5690</v>
      </c>
      <c r="M152">
        <v>41760</v>
      </c>
      <c r="N152">
        <v>5</v>
      </c>
      <c r="O152" t="s">
        <v>25</v>
      </c>
      <c r="P152" t="s">
        <v>15</v>
      </c>
    </row>
    <row r="153" spans="1:16" x14ac:dyDescent="0.35">
      <c r="A153" t="s">
        <v>10</v>
      </c>
      <c r="B153" t="s">
        <v>19</v>
      </c>
      <c r="C153" t="s">
        <v>43</v>
      </c>
      <c r="D153" t="s">
        <v>46</v>
      </c>
      <c r="E153">
        <v>2966</v>
      </c>
      <c r="F153">
        <v>260</v>
      </c>
      <c r="G153">
        <v>350</v>
      </c>
      <c r="H153">
        <v>1038100</v>
      </c>
      <c r="I153">
        <v>20762</v>
      </c>
      <c r="J153">
        <v>1017338</v>
      </c>
      <c r="K153">
        <v>771160</v>
      </c>
      <c r="L153">
        <v>246178</v>
      </c>
      <c r="M153">
        <v>41548</v>
      </c>
      <c r="N153">
        <v>10</v>
      </c>
      <c r="O153" t="s">
        <v>30</v>
      </c>
      <c r="P153" t="s">
        <v>14</v>
      </c>
    </row>
    <row r="154" spans="1:16" x14ac:dyDescent="0.35">
      <c r="A154" t="s">
        <v>10</v>
      </c>
      <c r="B154" t="s">
        <v>17</v>
      </c>
      <c r="C154" t="s">
        <v>43</v>
      </c>
      <c r="D154" t="s">
        <v>46</v>
      </c>
      <c r="E154">
        <v>1236</v>
      </c>
      <c r="F154">
        <v>260</v>
      </c>
      <c r="G154">
        <v>20</v>
      </c>
      <c r="H154">
        <v>24720</v>
      </c>
      <c r="I154">
        <v>494.4</v>
      </c>
      <c r="J154">
        <v>24225.599999999999</v>
      </c>
      <c r="K154">
        <v>12360</v>
      </c>
      <c r="L154">
        <v>11865.599999999999</v>
      </c>
      <c r="M154">
        <v>41944</v>
      </c>
      <c r="N154">
        <v>11</v>
      </c>
      <c r="O154" t="s">
        <v>31</v>
      </c>
      <c r="P154" t="s">
        <v>15</v>
      </c>
    </row>
    <row r="155" spans="1:16" x14ac:dyDescent="0.35">
      <c r="A155" t="s">
        <v>10</v>
      </c>
      <c r="B155" t="s">
        <v>18</v>
      </c>
      <c r="C155" t="s">
        <v>43</v>
      </c>
      <c r="D155" t="s">
        <v>46</v>
      </c>
      <c r="E155">
        <v>941</v>
      </c>
      <c r="F155">
        <v>260</v>
      </c>
      <c r="G155">
        <v>20</v>
      </c>
      <c r="H155">
        <v>18820</v>
      </c>
      <c r="I155">
        <v>376.4</v>
      </c>
      <c r="J155">
        <v>18443.599999999999</v>
      </c>
      <c r="K155">
        <v>9410</v>
      </c>
      <c r="L155">
        <v>9033.5999999999985</v>
      </c>
      <c r="M155">
        <v>41944</v>
      </c>
      <c r="N155">
        <v>11</v>
      </c>
      <c r="O155" t="s">
        <v>31</v>
      </c>
      <c r="P155" t="s">
        <v>15</v>
      </c>
    </row>
    <row r="156" spans="1:16" x14ac:dyDescent="0.35">
      <c r="A156" t="s">
        <v>7</v>
      </c>
      <c r="B156" t="s">
        <v>16</v>
      </c>
      <c r="C156" t="s">
        <v>43</v>
      </c>
      <c r="D156" t="s">
        <v>46</v>
      </c>
      <c r="E156">
        <v>1916</v>
      </c>
      <c r="F156">
        <v>260</v>
      </c>
      <c r="G156">
        <v>300</v>
      </c>
      <c r="H156">
        <v>574800</v>
      </c>
      <c r="I156">
        <v>11496</v>
      </c>
      <c r="J156">
        <v>563304</v>
      </c>
      <c r="K156">
        <v>479000</v>
      </c>
      <c r="L156">
        <v>84304</v>
      </c>
      <c r="M156">
        <v>41974</v>
      </c>
      <c r="N156">
        <v>12</v>
      </c>
      <c r="O156" t="s">
        <v>32</v>
      </c>
      <c r="P156" t="s">
        <v>15</v>
      </c>
    </row>
    <row r="157" spans="1:16" x14ac:dyDescent="0.35">
      <c r="A157" t="s">
        <v>9</v>
      </c>
      <c r="B157" t="s">
        <v>18</v>
      </c>
      <c r="C157" t="s">
        <v>38</v>
      </c>
      <c r="D157" t="s">
        <v>46</v>
      </c>
      <c r="E157">
        <v>4243.5</v>
      </c>
      <c r="F157">
        <v>3</v>
      </c>
      <c r="G157">
        <v>125</v>
      </c>
      <c r="H157">
        <v>530437.5</v>
      </c>
      <c r="I157">
        <v>15913.125</v>
      </c>
      <c r="J157">
        <v>514524.375</v>
      </c>
      <c r="K157">
        <v>509220</v>
      </c>
      <c r="L157">
        <v>5304.375</v>
      </c>
      <c r="M157">
        <v>41730</v>
      </c>
      <c r="N157">
        <v>4</v>
      </c>
      <c r="O157" t="s">
        <v>24</v>
      </c>
      <c r="P157" t="s">
        <v>15</v>
      </c>
    </row>
    <row r="158" spans="1:16" x14ac:dyDescent="0.35">
      <c r="A158" t="s">
        <v>10</v>
      </c>
      <c r="B158" t="s">
        <v>19</v>
      </c>
      <c r="C158" t="s">
        <v>38</v>
      </c>
      <c r="D158" t="s">
        <v>46</v>
      </c>
      <c r="E158">
        <v>2580</v>
      </c>
      <c r="F158">
        <v>3</v>
      </c>
      <c r="G158">
        <v>20</v>
      </c>
      <c r="H158">
        <v>51600</v>
      </c>
      <c r="I158">
        <v>1548</v>
      </c>
      <c r="J158">
        <v>50052</v>
      </c>
      <c r="K158">
        <v>25800</v>
      </c>
      <c r="L158">
        <v>24252</v>
      </c>
      <c r="M158">
        <v>41730</v>
      </c>
      <c r="N158">
        <v>4</v>
      </c>
      <c r="O158" t="s">
        <v>24</v>
      </c>
      <c r="P158" t="s">
        <v>15</v>
      </c>
    </row>
    <row r="159" spans="1:16" x14ac:dyDescent="0.35">
      <c r="A159" t="s">
        <v>7</v>
      </c>
      <c r="B159" t="s">
        <v>19</v>
      </c>
      <c r="C159" t="s">
        <v>38</v>
      </c>
      <c r="D159" t="s">
        <v>46</v>
      </c>
      <c r="E159">
        <v>689</v>
      </c>
      <c r="F159">
        <v>3</v>
      </c>
      <c r="G159">
        <v>300</v>
      </c>
      <c r="H159">
        <v>206700</v>
      </c>
      <c r="I159">
        <v>6201</v>
      </c>
      <c r="J159">
        <v>200499</v>
      </c>
      <c r="K159">
        <v>172250</v>
      </c>
      <c r="L159">
        <v>28249</v>
      </c>
      <c r="M159">
        <v>41791</v>
      </c>
      <c r="N159">
        <v>6</v>
      </c>
      <c r="O159" t="s">
        <v>26</v>
      </c>
      <c r="P159" t="s">
        <v>15</v>
      </c>
    </row>
    <row r="160" spans="1:16" x14ac:dyDescent="0.35">
      <c r="A160" t="s">
        <v>11</v>
      </c>
      <c r="B160" t="s">
        <v>17</v>
      </c>
      <c r="C160" t="s">
        <v>38</v>
      </c>
      <c r="D160" t="s">
        <v>46</v>
      </c>
      <c r="E160">
        <v>1947</v>
      </c>
      <c r="F160">
        <v>3</v>
      </c>
      <c r="G160">
        <v>12</v>
      </c>
      <c r="H160">
        <v>23364</v>
      </c>
      <c r="I160">
        <v>700.92</v>
      </c>
      <c r="J160">
        <v>22663.08</v>
      </c>
      <c r="K160">
        <v>5841</v>
      </c>
      <c r="L160">
        <v>16822.080000000002</v>
      </c>
      <c r="M160">
        <v>41883</v>
      </c>
      <c r="N160">
        <v>9</v>
      </c>
      <c r="O160" t="s">
        <v>29</v>
      </c>
      <c r="P160" t="s">
        <v>15</v>
      </c>
    </row>
    <row r="161" spans="1:16" x14ac:dyDescent="0.35">
      <c r="A161" t="s">
        <v>11</v>
      </c>
      <c r="B161" t="s">
        <v>16</v>
      </c>
      <c r="C161" t="s">
        <v>38</v>
      </c>
      <c r="D161" t="s">
        <v>46</v>
      </c>
      <c r="E161">
        <v>908</v>
      </c>
      <c r="F161">
        <v>3</v>
      </c>
      <c r="G161">
        <v>12</v>
      </c>
      <c r="H161">
        <v>10896</v>
      </c>
      <c r="I161">
        <v>326.88</v>
      </c>
      <c r="J161">
        <v>10569.12</v>
      </c>
      <c r="K161">
        <v>2724</v>
      </c>
      <c r="L161">
        <v>7845.1200000000008</v>
      </c>
      <c r="M161">
        <v>41609</v>
      </c>
      <c r="N161">
        <v>12</v>
      </c>
      <c r="O161" t="s">
        <v>32</v>
      </c>
      <c r="P161" t="s">
        <v>14</v>
      </c>
    </row>
    <row r="162" spans="1:16" x14ac:dyDescent="0.35">
      <c r="A162" t="s">
        <v>10</v>
      </c>
      <c r="B162" t="s">
        <v>19</v>
      </c>
      <c r="C162" t="s">
        <v>39</v>
      </c>
      <c r="D162" t="s">
        <v>46</v>
      </c>
      <c r="E162">
        <v>1958</v>
      </c>
      <c r="F162">
        <v>5</v>
      </c>
      <c r="G162">
        <v>7</v>
      </c>
      <c r="H162">
        <v>13706</v>
      </c>
      <c r="I162">
        <v>411.18</v>
      </c>
      <c r="J162">
        <v>13294.82</v>
      </c>
      <c r="K162">
        <v>9790</v>
      </c>
      <c r="L162">
        <v>3504.8199999999997</v>
      </c>
      <c r="M162">
        <v>41671</v>
      </c>
      <c r="N162">
        <v>2</v>
      </c>
      <c r="O162" t="s">
        <v>22</v>
      </c>
      <c r="P162" t="s">
        <v>15</v>
      </c>
    </row>
    <row r="163" spans="1:16" x14ac:dyDescent="0.35">
      <c r="A163" t="s">
        <v>11</v>
      </c>
      <c r="B163" t="s">
        <v>18</v>
      </c>
      <c r="C163" t="s">
        <v>39</v>
      </c>
      <c r="D163" t="s">
        <v>46</v>
      </c>
      <c r="E163">
        <v>1901</v>
      </c>
      <c r="F163">
        <v>5</v>
      </c>
      <c r="G163">
        <v>12</v>
      </c>
      <c r="H163">
        <v>22812</v>
      </c>
      <c r="I163">
        <v>684.36</v>
      </c>
      <c r="J163">
        <v>22127.64</v>
      </c>
      <c r="K163">
        <v>5703</v>
      </c>
      <c r="L163">
        <v>16424.64</v>
      </c>
      <c r="M163">
        <v>41791</v>
      </c>
      <c r="N163">
        <v>6</v>
      </c>
      <c r="O163" t="s">
        <v>26</v>
      </c>
      <c r="P163" t="s">
        <v>15</v>
      </c>
    </row>
    <row r="164" spans="1:16" x14ac:dyDescent="0.35">
      <c r="A164" t="s">
        <v>10</v>
      </c>
      <c r="B164" t="s">
        <v>18</v>
      </c>
      <c r="C164" t="s">
        <v>39</v>
      </c>
      <c r="D164" t="s">
        <v>46</v>
      </c>
      <c r="E164">
        <v>544</v>
      </c>
      <c r="F164">
        <v>5</v>
      </c>
      <c r="G164">
        <v>7</v>
      </c>
      <c r="H164">
        <v>3808</v>
      </c>
      <c r="I164">
        <v>114.24</v>
      </c>
      <c r="J164">
        <v>3693.76</v>
      </c>
      <c r="K164">
        <v>2720</v>
      </c>
      <c r="L164">
        <v>973.76000000000022</v>
      </c>
      <c r="M164">
        <v>41883</v>
      </c>
      <c r="N164">
        <v>9</v>
      </c>
      <c r="O164" t="s">
        <v>29</v>
      </c>
      <c r="P164" t="s">
        <v>15</v>
      </c>
    </row>
    <row r="165" spans="1:16" x14ac:dyDescent="0.35">
      <c r="A165" t="s">
        <v>10</v>
      </c>
      <c r="B165" t="s">
        <v>19</v>
      </c>
      <c r="C165" t="s">
        <v>39</v>
      </c>
      <c r="D165" t="s">
        <v>46</v>
      </c>
      <c r="E165">
        <v>1797</v>
      </c>
      <c r="F165">
        <v>5</v>
      </c>
      <c r="G165">
        <v>350</v>
      </c>
      <c r="H165">
        <v>628950</v>
      </c>
      <c r="I165">
        <v>18868.5</v>
      </c>
      <c r="J165">
        <v>610081.5</v>
      </c>
      <c r="K165">
        <v>467220</v>
      </c>
      <c r="L165">
        <v>142861.5</v>
      </c>
      <c r="M165">
        <v>41518</v>
      </c>
      <c r="N165">
        <v>9</v>
      </c>
      <c r="O165" t="s">
        <v>29</v>
      </c>
      <c r="P165" t="s">
        <v>14</v>
      </c>
    </row>
    <row r="166" spans="1:16" x14ac:dyDescent="0.35">
      <c r="A166" t="s">
        <v>9</v>
      </c>
      <c r="B166" t="s">
        <v>18</v>
      </c>
      <c r="C166" t="s">
        <v>39</v>
      </c>
      <c r="D166" t="s">
        <v>46</v>
      </c>
      <c r="E166">
        <v>1287</v>
      </c>
      <c r="F166">
        <v>5</v>
      </c>
      <c r="G166">
        <v>125</v>
      </c>
      <c r="H166">
        <v>160875</v>
      </c>
      <c r="I166">
        <v>4826.25</v>
      </c>
      <c r="J166">
        <v>156048.75</v>
      </c>
      <c r="K166">
        <v>154440</v>
      </c>
      <c r="L166">
        <v>1608.75</v>
      </c>
      <c r="M166">
        <v>41974</v>
      </c>
      <c r="N166">
        <v>12</v>
      </c>
      <c r="O166" t="s">
        <v>32</v>
      </c>
      <c r="P166" t="s">
        <v>15</v>
      </c>
    </row>
    <row r="167" spans="1:16" x14ac:dyDescent="0.35">
      <c r="A167" t="s">
        <v>9</v>
      </c>
      <c r="B167" t="s">
        <v>19</v>
      </c>
      <c r="C167" t="s">
        <v>39</v>
      </c>
      <c r="D167" t="s">
        <v>46</v>
      </c>
      <c r="E167">
        <v>1706</v>
      </c>
      <c r="F167">
        <v>5</v>
      </c>
      <c r="G167">
        <v>125</v>
      </c>
      <c r="H167">
        <v>213250</v>
      </c>
      <c r="I167">
        <v>6397.5</v>
      </c>
      <c r="J167">
        <v>206852.5</v>
      </c>
      <c r="K167">
        <v>204720</v>
      </c>
      <c r="L167">
        <v>2132.5</v>
      </c>
      <c r="M167">
        <v>41974</v>
      </c>
      <c r="N167">
        <v>12</v>
      </c>
      <c r="O167" t="s">
        <v>32</v>
      </c>
      <c r="P167" t="s">
        <v>15</v>
      </c>
    </row>
    <row r="168" spans="1:16" x14ac:dyDescent="0.35">
      <c r="A168" t="s">
        <v>7</v>
      </c>
      <c r="B168" t="s">
        <v>18</v>
      </c>
      <c r="C168" t="s">
        <v>40</v>
      </c>
      <c r="D168" t="s">
        <v>46</v>
      </c>
      <c r="E168">
        <v>2434.5</v>
      </c>
      <c r="F168">
        <v>10</v>
      </c>
      <c r="G168">
        <v>300</v>
      </c>
      <c r="H168">
        <v>730350</v>
      </c>
      <c r="I168">
        <v>21910.5</v>
      </c>
      <c r="J168">
        <v>708439.5</v>
      </c>
      <c r="K168">
        <v>608625</v>
      </c>
      <c r="L168">
        <v>99814.5</v>
      </c>
      <c r="M168">
        <v>41640</v>
      </c>
      <c r="N168">
        <v>1</v>
      </c>
      <c r="O168" t="s">
        <v>21</v>
      </c>
      <c r="P168" t="s">
        <v>15</v>
      </c>
    </row>
    <row r="169" spans="1:16" x14ac:dyDescent="0.35">
      <c r="A169" t="s">
        <v>9</v>
      </c>
      <c r="B169" t="s">
        <v>16</v>
      </c>
      <c r="C169" t="s">
        <v>40</v>
      </c>
      <c r="D169" t="s">
        <v>46</v>
      </c>
      <c r="E169">
        <v>1774</v>
      </c>
      <c r="F169">
        <v>10</v>
      </c>
      <c r="G169">
        <v>125</v>
      </c>
      <c r="H169">
        <v>221750</v>
      </c>
      <c r="I169">
        <v>6652.5</v>
      </c>
      <c r="J169">
        <v>215097.5</v>
      </c>
      <c r="K169">
        <v>212880</v>
      </c>
      <c r="L169">
        <v>2217.5</v>
      </c>
      <c r="M169">
        <v>41699</v>
      </c>
      <c r="N169">
        <v>3</v>
      </c>
      <c r="O169" t="s">
        <v>23</v>
      </c>
      <c r="P169" t="s">
        <v>15</v>
      </c>
    </row>
    <row r="170" spans="1:16" x14ac:dyDescent="0.35">
      <c r="A170" t="s">
        <v>11</v>
      </c>
      <c r="B170" t="s">
        <v>18</v>
      </c>
      <c r="C170" t="s">
        <v>40</v>
      </c>
      <c r="D170" t="s">
        <v>46</v>
      </c>
      <c r="E170">
        <v>1901</v>
      </c>
      <c r="F170">
        <v>10</v>
      </c>
      <c r="G170">
        <v>12</v>
      </c>
      <c r="H170">
        <v>22812</v>
      </c>
      <c r="I170">
        <v>684.36</v>
      </c>
      <c r="J170">
        <v>22127.64</v>
      </c>
      <c r="K170">
        <v>5703</v>
      </c>
      <c r="L170">
        <v>16424.64</v>
      </c>
      <c r="M170">
        <v>41791</v>
      </c>
      <c r="N170">
        <v>6</v>
      </c>
      <c r="O170" t="s">
        <v>26</v>
      </c>
      <c r="P170" t="s">
        <v>15</v>
      </c>
    </row>
    <row r="171" spans="1:16" x14ac:dyDescent="0.35">
      <c r="A171" t="s">
        <v>7</v>
      </c>
      <c r="B171" t="s">
        <v>19</v>
      </c>
      <c r="C171" t="s">
        <v>40</v>
      </c>
      <c r="D171" t="s">
        <v>46</v>
      </c>
      <c r="E171">
        <v>689</v>
      </c>
      <c r="F171">
        <v>10</v>
      </c>
      <c r="G171">
        <v>300</v>
      </c>
      <c r="H171">
        <v>206700</v>
      </c>
      <c r="I171">
        <v>6201</v>
      </c>
      <c r="J171">
        <v>200499</v>
      </c>
      <c r="K171">
        <v>172250</v>
      </c>
      <c r="L171">
        <v>28249</v>
      </c>
      <c r="M171">
        <v>41791</v>
      </c>
      <c r="N171">
        <v>6</v>
      </c>
      <c r="O171" t="s">
        <v>26</v>
      </c>
      <c r="P171" t="s">
        <v>15</v>
      </c>
    </row>
    <row r="172" spans="1:16" x14ac:dyDescent="0.35">
      <c r="A172" t="s">
        <v>9</v>
      </c>
      <c r="B172" t="s">
        <v>19</v>
      </c>
      <c r="C172" t="s">
        <v>40</v>
      </c>
      <c r="D172" t="s">
        <v>46</v>
      </c>
      <c r="E172">
        <v>1570</v>
      </c>
      <c r="F172">
        <v>10</v>
      </c>
      <c r="G172">
        <v>125</v>
      </c>
      <c r="H172">
        <v>196250</v>
      </c>
      <c r="I172">
        <v>5887.5</v>
      </c>
      <c r="J172">
        <v>190362.5</v>
      </c>
      <c r="K172">
        <v>188400</v>
      </c>
      <c r="L172">
        <v>1962.5</v>
      </c>
      <c r="M172">
        <v>41791</v>
      </c>
      <c r="N172">
        <v>6</v>
      </c>
      <c r="O172" t="s">
        <v>26</v>
      </c>
      <c r="P172" t="s">
        <v>15</v>
      </c>
    </row>
    <row r="173" spans="1:16" x14ac:dyDescent="0.35">
      <c r="A173" t="s">
        <v>11</v>
      </c>
      <c r="B173" t="s">
        <v>17</v>
      </c>
      <c r="C173" t="s">
        <v>40</v>
      </c>
      <c r="D173" t="s">
        <v>46</v>
      </c>
      <c r="E173">
        <v>1369.5</v>
      </c>
      <c r="F173">
        <v>10</v>
      </c>
      <c r="G173">
        <v>12</v>
      </c>
      <c r="H173">
        <v>16434</v>
      </c>
      <c r="I173">
        <v>493.02</v>
      </c>
      <c r="J173">
        <v>15940.98</v>
      </c>
      <c r="K173">
        <v>4108.5</v>
      </c>
      <c r="L173">
        <v>11832.48</v>
      </c>
      <c r="M173">
        <v>41821</v>
      </c>
      <c r="N173">
        <v>7</v>
      </c>
      <c r="O173" t="s">
        <v>27</v>
      </c>
      <c r="P173" t="s">
        <v>15</v>
      </c>
    </row>
    <row r="174" spans="1:16" x14ac:dyDescent="0.35">
      <c r="A174" t="s">
        <v>9</v>
      </c>
      <c r="B174" t="s">
        <v>16</v>
      </c>
      <c r="C174" t="s">
        <v>40</v>
      </c>
      <c r="D174" t="s">
        <v>46</v>
      </c>
      <c r="E174">
        <v>2009</v>
      </c>
      <c r="F174">
        <v>10</v>
      </c>
      <c r="G174">
        <v>125</v>
      </c>
      <c r="H174">
        <v>251125</v>
      </c>
      <c r="I174">
        <v>7533.75</v>
      </c>
      <c r="J174">
        <v>243591.25</v>
      </c>
      <c r="K174">
        <v>241080</v>
      </c>
      <c r="L174">
        <v>2511.25</v>
      </c>
      <c r="M174">
        <v>41913</v>
      </c>
      <c r="N174">
        <v>10</v>
      </c>
      <c r="O174" t="s">
        <v>30</v>
      </c>
      <c r="P174" t="s">
        <v>15</v>
      </c>
    </row>
    <row r="175" spans="1:16" x14ac:dyDescent="0.35">
      <c r="A175" t="s">
        <v>8</v>
      </c>
      <c r="B175" t="s">
        <v>19</v>
      </c>
      <c r="C175" t="s">
        <v>40</v>
      </c>
      <c r="D175" t="s">
        <v>46</v>
      </c>
      <c r="E175">
        <v>1945</v>
      </c>
      <c r="F175">
        <v>10</v>
      </c>
      <c r="G175">
        <v>15</v>
      </c>
      <c r="H175">
        <v>29175</v>
      </c>
      <c r="I175">
        <v>875.25</v>
      </c>
      <c r="J175">
        <v>28299.75</v>
      </c>
      <c r="K175">
        <v>19450</v>
      </c>
      <c r="L175">
        <v>8849.75</v>
      </c>
      <c r="M175">
        <v>41548</v>
      </c>
      <c r="N175">
        <v>10</v>
      </c>
      <c r="O175" t="s">
        <v>30</v>
      </c>
      <c r="P175" t="s">
        <v>14</v>
      </c>
    </row>
    <row r="176" spans="1:16" x14ac:dyDescent="0.35">
      <c r="A176" t="s">
        <v>9</v>
      </c>
      <c r="B176" t="s">
        <v>18</v>
      </c>
      <c r="C176" t="s">
        <v>40</v>
      </c>
      <c r="D176" t="s">
        <v>46</v>
      </c>
      <c r="E176">
        <v>1287</v>
      </c>
      <c r="F176">
        <v>10</v>
      </c>
      <c r="G176">
        <v>125</v>
      </c>
      <c r="H176">
        <v>160875</v>
      </c>
      <c r="I176">
        <v>4826.25</v>
      </c>
      <c r="J176">
        <v>156048.75</v>
      </c>
      <c r="K176">
        <v>154440</v>
      </c>
      <c r="L176">
        <v>1608.75</v>
      </c>
      <c r="M176">
        <v>41974</v>
      </c>
      <c r="N176">
        <v>12</v>
      </c>
      <c r="O176" t="s">
        <v>32</v>
      </c>
      <c r="P176" t="s">
        <v>15</v>
      </c>
    </row>
    <row r="177" spans="1:16" x14ac:dyDescent="0.35">
      <c r="A177" t="s">
        <v>9</v>
      </c>
      <c r="B177" t="s">
        <v>19</v>
      </c>
      <c r="C177" t="s">
        <v>40</v>
      </c>
      <c r="D177" t="s">
        <v>46</v>
      </c>
      <c r="E177">
        <v>1706</v>
      </c>
      <c r="F177">
        <v>10</v>
      </c>
      <c r="G177">
        <v>125</v>
      </c>
      <c r="H177">
        <v>213250</v>
      </c>
      <c r="I177">
        <v>6397.5</v>
      </c>
      <c r="J177">
        <v>206852.5</v>
      </c>
      <c r="K177">
        <v>204720</v>
      </c>
      <c r="L177">
        <v>2132.5</v>
      </c>
      <c r="M177">
        <v>41974</v>
      </c>
      <c r="N177">
        <v>12</v>
      </c>
      <c r="O177" t="s">
        <v>32</v>
      </c>
      <c r="P177" t="s">
        <v>15</v>
      </c>
    </row>
    <row r="178" spans="1:16" x14ac:dyDescent="0.35">
      <c r="A178" t="s">
        <v>9</v>
      </c>
      <c r="B178" t="s">
        <v>16</v>
      </c>
      <c r="C178" t="s">
        <v>41</v>
      </c>
      <c r="D178" t="s">
        <v>46</v>
      </c>
      <c r="E178">
        <v>2009</v>
      </c>
      <c r="F178">
        <v>120</v>
      </c>
      <c r="G178">
        <v>125</v>
      </c>
      <c r="H178">
        <v>251125</v>
      </c>
      <c r="I178">
        <v>7533.75</v>
      </c>
      <c r="J178">
        <v>243591.25</v>
      </c>
      <c r="K178">
        <v>241080</v>
      </c>
      <c r="L178">
        <v>2511.25</v>
      </c>
      <c r="M178">
        <v>41913</v>
      </c>
      <c r="N178">
        <v>10</v>
      </c>
      <c r="O178" t="s">
        <v>30</v>
      </c>
      <c r="P178" t="s">
        <v>15</v>
      </c>
    </row>
    <row r="179" spans="1:16" x14ac:dyDescent="0.35">
      <c r="A179" t="s">
        <v>7</v>
      </c>
      <c r="B179" t="s">
        <v>17</v>
      </c>
      <c r="C179" t="s">
        <v>42</v>
      </c>
      <c r="D179" t="s">
        <v>46</v>
      </c>
      <c r="E179">
        <v>2844</v>
      </c>
      <c r="F179">
        <v>250</v>
      </c>
      <c r="G179">
        <v>300</v>
      </c>
      <c r="H179">
        <v>853200</v>
      </c>
      <c r="I179">
        <v>25596</v>
      </c>
      <c r="J179">
        <v>827604</v>
      </c>
      <c r="K179">
        <v>711000</v>
      </c>
      <c r="L179">
        <v>116604</v>
      </c>
      <c r="M179">
        <v>41671</v>
      </c>
      <c r="N179">
        <v>2</v>
      </c>
      <c r="O179" t="s">
        <v>22</v>
      </c>
      <c r="P179" t="s">
        <v>15</v>
      </c>
    </row>
    <row r="180" spans="1:16" x14ac:dyDescent="0.35">
      <c r="A180" t="s">
        <v>11</v>
      </c>
      <c r="B180" t="s">
        <v>20</v>
      </c>
      <c r="C180" t="s">
        <v>42</v>
      </c>
      <c r="D180" t="s">
        <v>46</v>
      </c>
      <c r="E180">
        <v>1916</v>
      </c>
      <c r="F180">
        <v>250</v>
      </c>
      <c r="G180">
        <v>12</v>
      </c>
      <c r="H180">
        <v>22992</v>
      </c>
      <c r="I180">
        <v>689.76</v>
      </c>
      <c r="J180">
        <v>22302.240000000002</v>
      </c>
      <c r="K180">
        <v>5748</v>
      </c>
      <c r="L180">
        <v>16554.240000000002</v>
      </c>
      <c r="M180">
        <v>41730</v>
      </c>
      <c r="N180">
        <v>4</v>
      </c>
      <c r="O180" t="s">
        <v>24</v>
      </c>
      <c r="P180" t="s">
        <v>15</v>
      </c>
    </row>
    <row r="181" spans="1:16" x14ac:dyDescent="0.35">
      <c r="A181" t="s">
        <v>9</v>
      </c>
      <c r="B181" t="s">
        <v>19</v>
      </c>
      <c r="C181" t="s">
        <v>42</v>
      </c>
      <c r="D181" t="s">
        <v>46</v>
      </c>
      <c r="E181">
        <v>1570</v>
      </c>
      <c r="F181">
        <v>250</v>
      </c>
      <c r="G181">
        <v>125</v>
      </c>
      <c r="H181">
        <v>196250</v>
      </c>
      <c r="I181">
        <v>5887.5</v>
      </c>
      <c r="J181">
        <v>190362.5</v>
      </c>
      <c r="K181">
        <v>188400</v>
      </c>
      <c r="L181">
        <v>1962.5</v>
      </c>
      <c r="M181">
        <v>41791</v>
      </c>
      <c r="N181">
        <v>6</v>
      </c>
      <c r="O181" t="s">
        <v>26</v>
      </c>
      <c r="P181" t="s">
        <v>15</v>
      </c>
    </row>
    <row r="182" spans="1:16" x14ac:dyDescent="0.35">
      <c r="A182" t="s">
        <v>7</v>
      </c>
      <c r="B182" t="s">
        <v>16</v>
      </c>
      <c r="C182" t="s">
        <v>42</v>
      </c>
      <c r="D182" t="s">
        <v>46</v>
      </c>
      <c r="E182">
        <v>1874</v>
      </c>
      <c r="F182">
        <v>250</v>
      </c>
      <c r="G182">
        <v>300</v>
      </c>
      <c r="H182">
        <v>562200</v>
      </c>
      <c r="I182">
        <v>16866</v>
      </c>
      <c r="J182">
        <v>545334</v>
      </c>
      <c r="K182">
        <v>468500</v>
      </c>
      <c r="L182">
        <v>76834</v>
      </c>
      <c r="M182">
        <v>41852</v>
      </c>
      <c r="N182">
        <v>8</v>
      </c>
      <c r="O182" t="s">
        <v>28</v>
      </c>
      <c r="P182" t="s">
        <v>15</v>
      </c>
    </row>
    <row r="183" spans="1:16" x14ac:dyDescent="0.35">
      <c r="A183" t="s">
        <v>10</v>
      </c>
      <c r="B183" t="s">
        <v>20</v>
      </c>
      <c r="C183" t="s">
        <v>42</v>
      </c>
      <c r="D183" t="s">
        <v>46</v>
      </c>
      <c r="E183">
        <v>1642</v>
      </c>
      <c r="F183">
        <v>250</v>
      </c>
      <c r="G183">
        <v>350</v>
      </c>
      <c r="H183">
        <v>574700</v>
      </c>
      <c r="I183">
        <v>17241</v>
      </c>
      <c r="J183">
        <v>557459</v>
      </c>
      <c r="K183">
        <v>426920</v>
      </c>
      <c r="L183">
        <v>130539</v>
      </c>
      <c r="M183">
        <v>41852</v>
      </c>
      <c r="N183">
        <v>8</v>
      </c>
      <c r="O183" t="s">
        <v>28</v>
      </c>
      <c r="P183" t="s">
        <v>15</v>
      </c>
    </row>
    <row r="184" spans="1:16" x14ac:dyDescent="0.35">
      <c r="A184" t="s">
        <v>8</v>
      </c>
      <c r="B184" t="s">
        <v>19</v>
      </c>
      <c r="C184" t="s">
        <v>42</v>
      </c>
      <c r="D184" t="s">
        <v>46</v>
      </c>
      <c r="E184">
        <v>1945</v>
      </c>
      <c r="F184">
        <v>250</v>
      </c>
      <c r="G184">
        <v>15</v>
      </c>
      <c r="H184">
        <v>29175</v>
      </c>
      <c r="I184">
        <v>875.25</v>
      </c>
      <c r="J184">
        <v>28299.75</v>
      </c>
      <c r="K184">
        <v>19450</v>
      </c>
      <c r="L184">
        <v>8849.75</v>
      </c>
      <c r="M184">
        <v>41548</v>
      </c>
      <c r="N184">
        <v>10</v>
      </c>
      <c r="O184" t="s">
        <v>30</v>
      </c>
      <c r="P184" t="s">
        <v>14</v>
      </c>
    </row>
    <row r="185" spans="1:16" x14ac:dyDescent="0.35">
      <c r="A185" t="s">
        <v>10</v>
      </c>
      <c r="B185" t="s">
        <v>16</v>
      </c>
      <c r="C185" t="s">
        <v>38</v>
      </c>
      <c r="D185" t="s">
        <v>46</v>
      </c>
      <c r="E185">
        <v>831</v>
      </c>
      <c r="F185">
        <v>3</v>
      </c>
      <c r="G185">
        <v>20</v>
      </c>
      <c r="H185">
        <v>16620</v>
      </c>
      <c r="I185">
        <v>498.6</v>
      </c>
      <c r="J185">
        <v>16121.4</v>
      </c>
      <c r="K185">
        <v>8310</v>
      </c>
      <c r="L185">
        <v>7811.4</v>
      </c>
      <c r="M185">
        <v>41760</v>
      </c>
      <c r="N185">
        <v>5</v>
      </c>
      <c r="O185" t="s">
        <v>25</v>
      </c>
      <c r="P185" t="s">
        <v>15</v>
      </c>
    </row>
    <row r="186" spans="1:16" x14ac:dyDescent="0.35">
      <c r="A186" t="s">
        <v>10</v>
      </c>
      <c r="B186" t="s">
        <v>20</v>
      </c>
      <c r="C186" t="s">
        <v>40</v>
      </c>
      <c r="D186" t="s">
        <v>46</v>
      </c>
      <c r="E186">
        <v>1760</v>
      </c>
      <c r="F186">
        <v>10</v>
      </c>
      <c r="G186">
        <v>7</v>
      </c>
      <c r="H186">
        <v>12320</v>
      </c>
      <c r="I186">
        <v>369.6</v>
      </c>
      <c r="J186">
        <v>11950.4</v>
      </c>
      <c r="K186">
        <v>8800</v>
      </c>
      <c r="L186">
        <v>3150.3999999999996</v>
      </c>
      <c r="M186">
        <v>41518</v>
      </c>
      <c r="N186">
        <v>9</v>
      </c>
      <c r="O186" t="s">
        <v>29</v>
      </c>
      <c r="P186" t="s">
        <v>14</v>
      </c>
    </row>
    <row r="187" spans="1:16" x14ac:dyDescent="0.35">
      <c r="A187" t="s">
        <v>10</v>
      </c>
      <c r="B187" t="s">
        <v>16</v>
      </c>
      <c r="C187" t="s">
        <v>41</v>
      </c>
      <c r="D187" t="s">
        <v>46</v>
      </c>
      <c r="E187">
        <v>3850.5</v>
      </c>
      <c r="F187">
        <v>120</v>
      </c>
      <c r="G187">
        <v>20</v>
      </c>
      <c r="H187">
        <v>77010</v>
      </c>
      <c r="I187">
        <v>2310.3000000000002</v>
      </c>
      <c r="J187">
        <v>74699.700000000012</v>
      </c>
      <c r="K187">
        <v>38505</v>
      </c>
      <c r="L187">
        <v>36194.700000000004</v>
      </c>
      <c r="M187">
        <v>41730</v>
      </c>
      <c r="N187">
        <v>4</v>
      </c>
      <c r="O187" t="s">
        <v>24</v>
      </c>
      <c r="P187" t="s">
        <v>15</v>
      </c>
    </row>
    <row r="188" spans="1:16" x14ac:dyDescent="0.35">
      <c r="A188" t="s">
        <v>11</v>
      </c>
      <c r="B188" t="s">
        <v>19</v>
      </c>
      <c r="C188" t="s">
        <v>42</v>
      </c>
      <c r="D188" t="s">
        <v>46</v>
      </c>
      <c r="E188">
        <v>2479</v>
      </c>
      <c r="F188">
        <v>250</v>
      </c>
      <c r="G188">
        <v>12</v>
      </c>
      <c r="H188">
        <v>29748</v>
      </c>
      <c r="I188">
        <v>892.44</v>
      </c>
      <c r="J188">
        <v>28855.56</v>
      </c>
      <c r="K188">
        <v>7437</v>
      </c>
      <c r="L188">
        <v>21418.560000000001</v>
      </c>
      <c r="M188">
        <v>41640</v>
      </c>
      <c r="N188">
        <v>1</v>
      </c>
      <c r="O188" t="s">
        <v>21</v>
      </c>
      <c r="P188" t="s">
        <v>15</v>
      </c>
    </row>
    <row r="189" spans="1:16" x14ac:dyDescent="0.35">
      <c r="A189" t="s">
        <v>8</v>
      </c>
      <c r="B189" t="s">
        <v>20</v>
      </c>
      <c r="C189" t="s">
        <v>39</v>
      </c>
      <c r="D189" t="s">
        <v>46</v>
      </c>
      <c r="E189">
        <v>2031</v>
      </c>
      <c r="F189">
        <v>5</v>
      </c>
      <c r="G189">
        <v>15</v>
      </c>
      <c r="H189">
        <v>30465</v>
      </c>
      <c r="I189">
        <v>1218.5999999999999</v>
      </c>
      <c r="J189">
        <v>29246.400000000001</v>
      </c>
      <c r="K189">
        <v>20310</v>
      </c>
      <c r="L189">
        <v>8936.4000000000015</v>
      </c>
      <c r="M189">
        <v>41913</v>
      </c>
      <c r="N189">
        <v>10</v>
      </c>
      <c r="O189" t="s">
        <v>30</v>
      </c>
      <c r="P189" t="s">
        <v>15</v>
      </c>
    </row>
    <row r="190" spans="1:16" x14ac:dyDescent="0.35">
      <c r="A190" t="s">
        <v>8</v>
      </c>
      <c r="B190" t="s">
        <v>20</v>
      </c>
      <c r="C190" t="s">
        <v>40</v>
      </c>
      <c r="D190" t="s">
        <v>46</v>
      </c>
      <c r="E190">
        <v>2031</v>
      </c>
      <c r="F190">
        <v>10</v>
      </c>
      <c r="G190">
        <v>15</v>
      </c>
      <c r="H190">
        <v>30465</v>
      </c>
      <c r="I190">
        <v>1218.5999999999999</v>
      </c>
      <c r="J190">
        <v>29246.400000000001</v>
      </c>
      <c r="K190">
        <v>20310</v>
      </c>
      <c r="L190">
        <v>8936.4000000000015</v>
      </c>
      <c r="M190">
        <v>41913</v>
      </c>
      <c r="N190">
        <v>10</v>
      </c>
      <c r="O190" t="s">
        <v>30</v>
      </c>
      <c r="P190" t="s">
        <v>15</v>
      </c>
    </row>
    <row r="191" spans="1:16" x14ac:dyDescent="0.35">
      <c r="A191" t="s">
        <v>8</v>
      </c>
      <c r="B191" t="s">
        <v>18</v>
      </c>
      <c r="C191" t="s">
        <v>40</v>
      </c>
      <c r="D191" t="s">
        <v>46</v>
      </c>
      <c r="E191">
        <v>2261</v>
      </c>
      <c r="F191">
        <v>10</v>
      </c>
      <c r="G191">
        <v>15</v>
      </c>
      <c r="H191">
        <v>33915</v>
      </c>
      <c r="I191">
        <v>1356.6</v>
      </c>
      <c r="J191">
        <v>32558.400000000001</v>
      </c>
      <c r="K191">
        <v>22610</v>
      </c>
      <c r="L191">
        <v>9948.4000000000015</v>
      </c>
      <c r="M191">
        <v>41609</v>
      </c>
      <c r="N191">
        <v>12</v>
      </c>
      <c r="O191" t="s">
        <v>32</v>
      </c>
      <c r="P191" t="s">
        <v>14</v>
      </c>
    </row>
    <row r="192" spans="1:16" x14ac:dyDescent="0.35">
      <c r="A192" t="s">
        <v>10</v>
      </c>
      <c r="B192" t="s">
        <v>17</v>
      </c>
      <c r="C192" t="s">
        <v>41</v>
      </c>
      <c r="D192" t="s">
        <v>46</v>
      </c>
      <c r="E192">
        <v>736</v>
      </c>
      <c r="F192">
        <v>120</v>
      </c>
      <c r="G192">
        <v>20</v>
      </c>
      <c r="H192">
        <v>14720</v>
      </c>
      <c r="I192">
        <v>588.79999999999995</v>
      </c>
      <c r="J192">
        <v>14131.2</v>
      </c>
      <c r="K192">
        <v>7360</v>
      </c>
      <c r="L192">
        <v>6771.2000000000007</v>
      </c>
      <c r="M192">
        <v>41518</v>
      </c>
      <c r="N192">
        <v>9</v>
      </c>
      <c r="O192" t="s">
        <v>29</v>
      </c>
      <c r="P192" t="s">
        <v>14</v>
      </c>
    </row>
    <row r="193" spans="1:16" x14ac:dyDescent="0.35">
      <c r="A193" t="s">
        <v>10</v>
      </c>
      <c r="B193" t="s">
        <v>16</v>
      </c>
      <c r="C193" t="s">
        <v>38</v>
      </c>
      <c r="D193" t="s">
        <v>46</v>
      </c>
      <c r="E193">
        <v>2851</v>
      </c>
      <c r="F193">
        <v>3</v>
      </c>
      <c r="G193">
        <v>7</v>
      </c>
      <c r="H193">
        <v>19957</v>
      </c>
      <c r="I193">
        <v>798.28</v>
      </c>
      <c r="J193">
        <v>19158.72</v>
      </c>
      <c r="K193">
        <v>14255</v>
      </c>
      <c r="L193">
        <v>4903.7200000000012</v>
      </c>
      <c r="M193">
        <v>41548</v>
      </c>
      <c r="N193">
        <v>10</v>
      </c>
      <c r="O193" t="s">
        <v>30</v>
      </c>
      <c r="P193" t="s">
        <v>14</v>
      </c>
    </row>
    <row r="194" spans="1:16" x14ac:dyDescent="0.35">
      <c r="A194" t="s">
        <v>7</v>
      </c>
      <c r="B194" t="s">
        <v>19</v>
      </c>
      <c r="C194" t="s">
        <v>38</v>
      </c>
      <c r="D194" t="s">
        <v>46</v>
      </c>
      <c r="E194">
        <v>2021</v>
      </c>
      <c r="F194">
        <v>3</v>
      </c>
      <c r="G194">
        <v>300</v>
      </c>
      <c r="H194">
        <v>606300</v>
      </c>
      <c r="I194">
        <v>24252</v>
      </c>
      <c r="J194">
        <v>582048</v>
      </c>
      <c r="K194">
        <v>505250</v>
      </c>
      <c r="L194">
        <v>76798</v>
      </c>
      <c r="M194">
        <v>41913</v>
      </c>
      <c r="N194">
        <v>10</v>
      </c>
      <c r="O194" t="s">
        <v>30</v>
      </c>
      <c r="P194" t="s">
        <v>15</v>
      </c>
    </row>
    <row r="195" spans="1:16" x14ac:dyDescent="0.35">
      <c r="A195" t="s">
        <v>10</v>
      </c>
      <c r="B195" t="s">
        <v>17</v>
      </c>
      <c r="C195" t="s">
        <v>38</v>
      </c>
      <c r="D195" t="s">
        <v>46</v>
      </c>
      <c r="E195">
        <v>274</v>
      </c>
      <c r="F195">
        <v>3</v>
      </c>
      <c r="G195">
        <v>350</v>
      </c>
      <c r="H195">
        <v>95900</v>
      </c>
      <c r="I195">
        <v>3836</v>
      </c>
      <c r="J195">
        <v>92064</v>
      </c>
      <c r="K195">
        <v>71240</v>
      </c>
      <c r="L195">
        <v>20824</v>
      </c>
      <c r="M195">
        <v>41974</v>
      </c>
      <c r="N195">
        <v>12</v>
      </c>
      <c r="O195" t="s">
        <v>32</v>
      </c>
      <c r="P195" t="s">
        <v>15</v>
      </c>
    </row>
    <row r="196" spans="1:16" x14ac:dyDescent="0.35">
      <c r="A196" t="s">
        <v>8</v>
      </c>
      <c r="B196" t="s">
        <v>16</v>
      </c>
      <c r="C196" t="s">
        <v>39</v>
      </c>
      <c r="D196" t="s">
        <v>46</v>
      </c>
      <c r="E196">
        <v>1967</v>
      </c>
      <c r="F196">
        <v>5</v>
      </c>
      <c r="G196">
        <v>15</v>
      </c>
      <c r="H196">
        <v>29505</v>
      </c>
      <c r="I196">
        <v>1180.2</v>
      </c>
      <c r="J196">
        <v>28324.799999999999</v>
      </c>
      <c r="K196">
        <v>19670</v>
      </c>
      <c r="L196">
        <v>8654.7999999999993</v>
      </c>
      <c r="M196">
        <v>41699</v>
      </c>
      <c r="N196">
        <v>3</v>
      </c>
      <c r="O196" t="s">
        <v>23</v>
      </c>
      <c r="P196" t="s">
        <v>15</v>
      </c>
    </row>
    <row r="197" spans="1:16" x14ac:dyDescent="0.35">
      <c r="A197" t="s">
        <v>7</v>
      </c>
      <c r="B197" t="s">
        <v>19</v>
      </c>
      <c r="C197" t="s">
        <v>39</v>
      </c>
      <c r="D197" t="s">
        <v>46</v>
      </c>
      <c r="E197">
        <v>1859</v>
      </c>
      <c r="F197">
        <v>5</v>
      </c>
      <c r="G197">
        <v>300</v>
      </c>
      <c r="H197">
        <v>557700</v>
      </c>
      <c r="I197">
        <v>22308</v>
      </c>
      <c r="J197">
        <v>535392</v>
      </c>
      <c r="K197">
        <v>464750</v>
      </c>
      <c r="L197">
        <v>70642</v>
      </c>
      <c r="M197">
        <v>41852</v>
      </c>
      <c r="N197">
        <v>8</v>
      </c>
      <c r="O197" t="s">
        <v>28</v>
      </c>
      <c r="P197" t="s">
        <v>15</v>
      </c>
    </row>
    <row r="198" spans="1:16" x14ac:dyDescent="0.35">
      <c r="A198" t="s">
        <v>10</v>
      </c>
      <c r="B198" t="s">
        <v>16</v>
      </c>
      <c r="C198" t="s">
        <v>39</v>
      </c>
      <c r="D198" t="s">
        <v>46</v>
      </c>
      <c r="E198">
        <v>2851</v>
      </c>
      <c r="F198">
        <v>5</v>
      </c>
      <c r="G198">
        <v>7</v>
      </c>
      <c r="H198">
        <v>19957</v>
      </c>
      <c r="I198">
        <v>798.28</v>
      </c>
      <c r="J198">
        <v>19158.72</v>
      </c>
      <c r="K198">
        <v>14255</v>
      </c>
      <c r="L198">
        <v>4903.7200000000012</v>
      </c>
      <c r="M198">
        <v>41548</v>
      </c>
      <c r="N198">
        <v>10</v>
      </c>
      <c r="O198" t="s">
        <v>30</v>
      </c>
      <c r="P198" t="s">
        <v>14</v>
      </c>
    </row>
    <row r="199" spans="1:16" x14ac:dyDescent="0.35">
      <c r="A199" t="s">
        <v>7</v>
      </c>
      <c r="B199" t="s">
        <v>19</v>
      </c>
      <c r="C199" t="s">
        <v>39</v>
      </c>
      <c r="D199" t="s">
        <v>46</v>
      </c>
      <c r="E199">
        <v>2021</v>
      </c>
      <c r="F199">
        <v>5</v>
      </c>
      <c r="G199">
        <v>300</v>
      </c>
      <c r="H199">
        <v>606300</v>
      </c>
      <c r="I199">
        <v>24252</v>
      </c>
      <c r="J199">
        <v>582048</v>
      </c>
      <c r="K199">
        <v>505250</v>
      </c>
      <c r="L199">
        <v>76798</v>
      </c>
      <c r="M199">
        <v>41913</v>
      </c>
      <c r="N199">
        <v>10</v>
      </c>
      <c r="O199" t="s">
        <v>30</v>
      </c>
      <c r="P199" t="s">
        <v>15</v>
      </c>
    </row>
    <row r="200" spans="1:16" x14ac:dyDescent="0.35">
      <c r="A200" t="s">
        <v>9</v>
      </c>
      <c r="B200" t="s">
        <v>20</v>
      </c>
      <c r="C200" t="s">
        <v>39</v>
      </c>
      <c r="D200" t="s">
        <v>46</v>
      </c>
      <c r="E200">
        <v>1138</v>
      </c>
      <c r="F200">
        <v>5</v>
      </c>
      <c r="G200">
        <v>125</v>
      </c>
      <c r="H200">
        <v>142250</v>
      </c>
      <c r="I200">
        <v>5690</v>
      </c>
      <c r="J200">
        <v>136560</v>
      </c>
      <c r="K200">
        <v>136560</v>
      </c>
      <c r="L200">
        <v>0</v>
      </c>
      <c r="M200">
        <v>41974</v>
      </c>
      <c r="N200">
        <v>12</v>
      </c>
      <c r="O200" t="s">
        <v>32</v>
      </c>
      <c r="P200" t="s">
        <v>15</v>
      </c>
    </row>
    <row r="201" spans="1:16" x14ac:dyDescent="0.35">
      <c r="A201" t="s">
        <v>10</v>
      </c>
      <c r="B201" t="s">
        <v>16</v>
      </c>
      <c r="C201" t="s">
        <v>40</v>
      </c>
      <c r="D201" t="s">
        <v>46</v>
      </c>
      <c r="E201">
        <v>4251</v>
      </c>
      <c r="F201">
        <v>10</v>
      </c>
      <c r="G201">
        <v>7</v>
      </c>
      <c r="H201">
        <v>29757</v>
      </c>
      <c r="I201">
        <v>1190.28</v>
      </c>
      <c r="J201">
        <v>28566.720000000001</v>
      </c>
      <c r="K201">
        <v>21255</v>
      </c>
      <c r="L201">
        <v>7311.7199999999993</v>
      </c>
      <c r="M201">
        <v>41640</v>
      </c>
      <c r="N201">
        <v>1</v>
      </c>
      <c r="O201" t="s">
        <v>21</v>
      </c>
      <c r="P201" t="s">
        <v>15</v>
      </c>
    </row>
    <row r="202" spans="1:16" x14ac:dyDescent="0.35">
      <c r="A202" t="s">
        <v>9</v>
      </c>
      <c r="B202" t="s">
        <v>19</v>
      </c>
      <c r="C202" t="s">
        <v>40</v>
      </c>
      <c r="D202" t="s">
        <v>46</v>
      </c>
      <c r="E202">
        <v>795</v>
      </c>
      <c r="F202">
        <v>10</v>
      </c>
      <c r="G202">
        <v>125</v>
      </c>
      <c r="H202">
        <v>99375</v>
      </c>
      <c r="I202">
        <v>3975</v>
      </c>
      <c r="J202">
        <v>95400</v>
      </c>
      <c r="K202">
        <v>95400</v>
      </c>
      <c r="L202">
        <v>0</v>
      </c>
      <c r="M202">
        <v>41699</v>
      </c>
      <c r="N202">
        <v>3</v>
      </c>
      <c r="O202" t="s">
        <v>23</v>
      </c>
      <c r="P202" t="s">
        <v>15</v>
      </c>
    </row>
    <row r="203" spans="1:16" x14ac:dyDescent="0.35">
      <c r="A203" t="s">
        <v>7</v>
      </c>
      <c r="B203" t="s">
        <v>19</v>
      </c>
      <c r="C203" t="s">
        <v>40</v>
      </c>
      <c r="D203" t="s">
        <v>46</v>
      </c>
      <c r="E203">
        <v>1414.5</v>
      </c>
      <c r="F203">
        <v>10</v>
      </c>
      <c r="G203">
        <v>300</v>
      </c>
      <c r="H203">
        <v>424350</v>
      </c>
      <c r="I203">
        <v>16974</v>
      </c>
      <c r="J203">
        <v>407376</v>
      </c>
      <c r="K203">
        <v>353625</v>
      </c>
      <c r="L203">
        <v>53751</v>
      </c>
      <c r="M203">
        <v>41730</v>
      </c>
      <c r="N203">
        <v>4</v>
      </c>
      <c r="O203" t="s">
        <v>24</v>
      </c>
      <c r="P203" t="s">
        <v>15</v>
      </c>
    </row>
    <row r="204" spans="1:16" x14ac:dyDescent="0.35">
      <c r="A204" t="s">
        <v>7</v>
      </c>
      <c r="B204" t="s">
        <v>17</v>
      </c>
      <c r="C204" t="s">
        <v>40</v>
      </c>
      <c r="D204" t="s">
        <v>46</v>
      </c>
      <c r="E204">
        <v>2918</v>
      </c>
      <c r="F204">
        <v>10</v>
      </c>
      <c r="G204">
        <v>300</v>
      </c>
      <c r="H204">
        <v>875400</v>
      </c>
      <c r="I204">
        <v>35016</v>
      </c>
      <c r="J204">
        <v>840384</v>
      </c>
      <c r="K204">
        <v>729500</v>
      </c>
      <c r="L204">
        <v>110884</v>
      </c>
      <c r="M204">
        <v>41760</v>
      </c>
      <c r="N204">
        <v>5</v>
      </c>
      <c r="O204" t="s">
        <v>25</v>
      </c>
      <c r="P204" t="s">
        <v>15</v>
      </c>
    </row>
    <row r="205" spans="1:16" x14ac:dyDescent="0.35">
      <c r="A205" t="s">
        <v>10</v>
      </c>
      <c r="B205" t="s">
        <v>17</v>
      </c>
      <c r="C205" t="s">
        <v>40</v>
      </c>
      <c r="D205" t="s">
        <v>46</v>
      </c>
      <c r="E205">
        <v>3450</v>
      </c>
      <c r="F205">
        <v>10</v>
      </c>
      <c r="G205">
        <v>350</v>
      </c>
      <c r="H205">
        <v>1207500</v>
      </c>
      <c r="I205">
        <v>48300</v>
      </c>
      <c r="J205">
        <v>1159200</v>
      </c>
      <c r="K205">
        <v>897000</v>
      </c>
      <c r="L205">
        <v>262200</v>
      </c>
      <c r="M205">
        <v>41821</v>
      </c>
      <c r="N205">
        <v>7</v>
      </c>
      <c r="O205" t="s">
        <v>27</v>
      </c>
      <c r="P205" t="s">
        <v>15</v>
      </c>
    </row>
    <row r="206" spans="1:16" x14ac:dyDescent="0.35">
      <c r="A206" t="s">
        <v>9</v>
      </c>
      <c r="B206" t="s">
        <v>18</v>
      </c>
      <c r="C206" t="s">
        <v>40</v>
      </c>
      <c r="D206" t="s">
        <v>46</v>
      </c>
      <c r="E206">
        <v>2988</v>
      </c>
      <c r="F206">
        <v>10</v>
      </c>
      <c r="G206">
        <v>125</v>
      </c>
      <c r="H206">
        <v>373500</v>
      </c>
      <c r="I206">
        <v>14940</v>
      </c>
      <c r="J206">
        <v>358560</v>
      </c>
      <c r="K206">
        <v>358560</v>
      </c>
      <c r="L206">
        <v>0</v>
      </c>
      <c r="M206">
        <v>41821</v>
      </c>
      <c r="N206">
        <v>7</v>
      </c>
      <c r="O206" t="s">
        <v>27</v>
      </c>
      <c r="P206" t="s">
        <v>15</v>
      </c>
    </row>
    <row r="207" spans="1:16" x14ac:dyDescent="0.35">
      <c r="A207" t="s">
        <v>8</v>
      </c>
      <c r="B207" t="s">
        <v>16</v>
      </c>
      <c r="C207" t="s">
        <v>40</v>
      </c>
      <c r="D207" t="s">
        <v>46</v>
      </c>
      <c r="E207">
        <v>218</v>
      </c>
      <c r="F207">
        <v>10</v>
      </c>
      <c r="G207">
        <v>15</v>
      </c>
      <c r="H207">
        <v>3270</v>
      </c>
      <c r="I207">
        <v>130.80000000000001</v>
      </c>
      <c r="J207">
        <v>3139.2</v>
      </c>
      <c r="K207">
        <v>2180</v>
      </c>
      <c r="L207">
        <v>959.19999999999982</v>
      </c>
      <c r="M207">
        <v>41883</v>
      </c>
      <c r="N207">
        <v>9</v>
      </c>
      <c r="O207" t="s">
        <v>29</v>
      </c>
      <c r="P207" t="s">
        <v>15</v>
      </c>
    </row>
    <row r="208" spans="1:16" x14ac:dyDescent="0.35">
      <c r="A208" t="s">
        <v>10</v>
      </c>
      <c r="B208" t="s">
        <v>16</v>
      </c>
      <c r="C208" t="s">
        <v>40</v>
      </c>
      <c r="D208" t="s">
        <v>46</v>
      </c>
      <c r="E208">
        <v>2074</v>
      </c>
      <c r="F208">
        <v>10</v>
      </c>
      <c r="G208">
        <v>20</v>
      </c>
      <c r="H208">
        <v>41480</v>
      </c>
      <c r="I208">
        <v>1659.2</v>
      </c>
      <c r="J208">
        <v>39820.800000000003</v>
      </c>
      <c r="K208">
        <v>20740</v>
      </c>
      <c r="L208">
        <v>19080.800000000003</v>
      </c>
      <c r="M208">
        <v>41883</v>
      </c>
      <c r="N208">
        <v>9</v>
      </c>
      <c r="O208" t="s">
        <v>29</v>
      </c>
      <c r="P208" t="s">
        <v>15</v>
      </c>
    </row>
    <row r="209" spans="1:16" x14ac:dyDescent="0.35">
      <c r="A209" t="s">
        <v>10</v>
      </c>
      <c r="B209" t="s">
        <v>17</v>
      </c>
      <c r="C209" t="s">
        <v>40</v>
      </c>
      <c r="D209" t="s">
        <v>46</v>
      </c>
      <c r="E209">
        <v>1056</v>
      </c>
      <c r="F209">
        <v>10</v>
      </c>
      <c r="G209">
        <v>20</v>
      </c>
      <c r="H209">
        <v>21120</v>
      </c>
      <c r="I209">
        <v>844.8</v>
      </c>
      <c r="J209">
        <v>20275.2</v>
      </c>
      <c r="K209">
        <v>10560</v>
      </c>
      <c r="L209">
        <v>9715.2000000000007</v>
      </c>
      <c r="M209">
        <v>41883</v>
      </c>
      <c r="N209">
        <v>9</v>
      </c>
      <c r="O209" t="s">
        <v>29</v>
      </c>
      <c r="P209" t="s">
        <v>15</v>
      </c>
    </row>
    <row r="210" spans="1:16" x14ac:dyDescent="0.35">
      <c r="A210" t="s">
        <v>8</v>
      </c>
      <c r="B210" t="s">
        <v>17</v>
      </c>
      <c r="C210" t="s">
        <v>40</v>
      </c>
      <c r="D210" t="s">
        <v>46</v>
      </c>
      <c r="E210">
        <v>671</v>
      </c>
      <c r="F210">
        <v>10</v>
      </c>
      <c r="G210">
        <v>15</v>
      </c>
      <c r="H210">
        <v>10065</v>
      </c>
      <c r="I210">
        <v>402.6</v>
      </c>
      <c r="J210">
        <v>9662.4</v>
      </c>
      <c r="K210">
        <v>6710</v>
      </c>
      <c r="L210">
        <v>2952.3999999999996</v>
      </c>
      <c r="M210">
        <v>41548</v>
      </c>
      <c r="N210">
        <v>10</v>
      </c>
      <c r="O210" t="s">
        <v>30</v>
      </c>
      <c r="P210" t="s">
        <v>14</v>
      </c>
    </row>
    <row r="211" spans="1:16" x14ac:dyDescent="0.35">
      <c r="A211" t="s">
        <v>8</v>
      </c>
      <c r="B211" t="s">
        <v>20</v>
      </c>
      <c r="C211" t="s">
        <v>40</v>
      </c>
      <c r="D211" t="s">
        <v>46</v>
      </c>
      <c r="E211">
        <v>1514</v>
      </c>
      <c r="F211">
        <v>10</v>
      </c>
      <c r="G211">
        <v>15</v>
      </c>
      <c r="H211">
        <v>22710</v>
      </c>
      <c r="I211">
        <v>908.4</v>
      </c>
      <c r="J211">
        <v>21801.599999999999</v>
      </c>
      <c r="K211">
        <v>15140</v>
      </c>
      <c r="L211">
        <v>6661.5999999999985</v>
      </c>
      <c r="M211">
        <v>41548</v>
      </c>
      <c r="N211">
        <v>10</v>
      </c>
      <c r="O211" t="s">
        <v>30</v>
      </c>
      <c r="P211" t="s">
        <v>14</v>
      </c>
    </row>
    <row r="212" spans="1:16" x14ac:dyDescent="0.35">
      <c r="A212" t="s">
        <v>10</v>
      </c>
      <c r="B212" t="s">
        <v>17</v>
      </c>
      <c r="C212" t="s">
        <v>40</v>
      </c>
      <c r="D212" t="s">
        <v>46</v>
      </c>
      <c r="E212">
        <v>274</v>
      </c>
      <c r="F212">
        <v>10</v>
      </c>
      <c r="G212">
        <v>350</v>
      </c>
      <c r="H212">
        <v>95900</v>
      </c>
      <c r="I212">
        <v>3836</v>
      </c>
      <c r="J212">
        <v>92064</v>
      </c>
      <c r="K212">
        <v>71240</v>
      </c>
      <c r="L212">
        <v>20824</v>
      </c>
      <c r="M212">
        <v>41974</v>
      </c>
      <c r="N212">
        <v>12</v>
      </c>
      <c r="O212" t="s">
        <v>32</v>
      </c>
      <c r="P212" t="s">
        <v>15</v>
      </c>
    </row>
    <row r="213" spans="1:16" x14ac:dyDescent="0.35">
      <c r="A213" t="s">
        <v>9</v>
      </c>
      <c r="B213" t="s">
        <v>20</v>
      </c>
      <c r="C213" t="s">
        <v>40</v>
      </c>
      <c r="D213" t="s">
        <v>46</v>
      </c>
      <c r="E213">
        <v>1138</v>
      </c>
      <c r="F213">
        <v>10</v>
      </c>
      <c r="G213">
        <v>125</v>
      </c>
      <c r="H213">
        <v>142250</v>
      </c>
      <c r="I213">
        <v>5690</v>
      </c>
      <c r="J213">
        <v>136560</v>
      </c>
      <c r="K213">
        <v>136560</v>
      </c>
      <c r="L213">
        <v>0</v>
      </c>
      <c r="M213">
        <v>41974</v>
      </c>
      <c r="N213">
        <v>12</v>
      </c>
      <c r="O213" t="s">
        <v>32</v>
      </c>
      <c r="P213" t="s">
        <v>15</v>
      </c>
    </row>
    <row r="214" spans="1:16" x14ac:dyDescent="0.35">
      <c r="A214" t="s">
        <v>11</v>
      </c>
      <c r="B214" t="s">
        <v>17</v>
      </c>
      <c r="C214" t="s">
        <v>41</v>
      </c>
      <c r="D214" t="s">
        <v>46</v>
      </c>
      <c r="E214">
        <v>1465</v>
      </c>
      <c r="F214">
        <v>120</v>
      </c>
      <c r="G214">
        <v>12</v>
      </c>
      <c r="H214">
        <v>17580</v>
      </c>
      <c r="I214">
        <v>703.2</v>
      </c>
      <c r="J214">
        <v>16876.8</v>
      </c>
      <c r="K214">
        <v>4395</v>
      </c>
      <c r="L214">
        <v>12481.8</v>
      </c>
      <c r="M214">
        <v>41699</v>
      </c>
      <c r="N214">
        <v>3</v>
      </c>
      <c r="O214" t="s">
        <v>23</v>
      </c>
      <c r="P214" t="s">
        <v>15</v>
      </c>
    </row>
    <row r="215" spans="1:16" x14ac:dyDescent="0.35">
      <c r="A215" t="s">
        <v>10</v>
      </c>
      <c r="B215" t="s">
        <v>16</v>
      </c>
      <c r="C215" t="s">
        <v>41</v>
      </c>
      <c r="D215" t="s">
        <v>46</v>
      </c>
      <c r="E215">
        <v>2646</v>
      </c>
      <c r="F215">
        <v>120</v>
      </c>
      <c r="G215">
        <v>20</v>
      </c>
      <c r="H215">
        <v>52920</v>
      </c>
      <c r="I215">
        <v>2116.8000000000002</v>
      </c>
      <c r="J215">
        <v>50803.199999999997</v>
      </c>
      <c r="K215">
        <v>26460</v>
      </c>
      <c r="L215">
        <v>24343.199999999997</v>
      </c>
      <c r="M215">
        <v>41518</v>
      </c>
      <c r="N215">
        <v>9</v>
      </c>
      <c r="O215" t="s">
        <v>29</v>
      </c>
      <c r="P215" t="s">
        <v>14</v>
      </c>
    </row>
    <row r="216" spans="1:16" x14ac:dyDescent="0.35">
      <c r="A216" t="s">
        <v>10</v>
      </c>
      <c r="B216" t="s">
        <v>18</v>
      </c>
      <c r="C216" t="s">
        <v>41</v>
      </c>
      <c r="D216" t="s">
        <v>46</v>
      </c>
      <c r="E216">
        <v>2177</v>
      </c>
      <c r="F216">
        <v>120</v>
      </c>
      <c r="G216">
        <v>350</v>
      </c>
      <c r="H216">
        <v>761950</v>
      </c>
      <c r="I216">
        <v>30478</v>
      </c>
      <c r="J216">
        <v>731472</v>
      </c>
      <c r="K216">
        <v>566020</v>
      </c>
      <c r="L216">
        <v>165452</v>
      </c>
      <c r="M216">
        <v>41913</v>
      </c>
      <c r="N216">
        <v>10</v>
      </c>
      <c r="O216" t="s">
        <v>30</v>
      </c>
      <c r="P216" t="s">
        <v>15</v>
      </c>
    </row>
    <row r="217" spans="1:16" x14ac:dyDescent="0.35">
      <c r="A217" t="s">
        <v>11</v>
      </c>
      <c r="B217" t="s">
        <v>18</v>
      </c>
      <c r="C217" t="s">
        <v>42</v>
      </c>
      <c r="D217" t="s">
        <v>46</v>
      </c>
      <c r="E217">
        <v>866</v>
      </c>
      <c r="F217">
        <v>250</v>
      </c>
      <c r="G217">
        <v>12</v>
      </c>
      <c r="H217">
        <v>10392</v>
      </c>
      <c r="I217">
        <v>415.68</v>
      </c>
      <c r="J217">
        <v>9976.32</v>
      </c>
      <c r="K217">
        <v>2598</v>
      </c>
      <c r="L217">
        <v>7378.32</v>
      </c>
      <c r="M217">
        <v>41760</v>
      </c>
      <c r="N217">
        <v>5</v>
      </c>
      <c r="O217" t="s">
        <v>25</v>
      </c>
      <c r="P217" t="s">
        <v>15</v>
      </c>
    </row>
    <row r="218" spans="1:16" x14ac:dyDescent="0.35">
      <c r="A218" t="s">
        <v>10</v>
      </c>
      <c r="B218" t="s">
        <v>17</v>
      </c>
      <c r="C218" t="s">
        <v>42</v>
      </c>
      <c r="D218" t="s">
        <v>46</v>
      </c>
      <c r="E218">
        <v>349</v>
      </c>
      <c r="F218">
        <v>250</v>
      </c>
      <c r="G218">
        <v>350</v>
      </c>
      <c r="H218">
        <v>122150</v>
      </c>
      <c r="I218">
        <v>4886</v>
      </c>
      <c r="J218">
        <v>117264</v>
      </c>
      <c r="K218">
        <v>90740</v>
      </c>
      <c r="L218">
        <v>26524</v>
      </c>
      <c r="M218">
        <v>41518</v>
      </c>
      <c r="N218">
        <v>9</v>
      </c>
      <c r="O218" t="s">
        <v>29</v>
      </c>
      <c r="P218" t="s">
        <v>14</v>
      </c>
    </row>
    <row r="219" spans="1:16" x14ac:dyDescent="0.35">
      <c r="A219" t="s">
        <v>10</v>
      </c>
      <c r="B219" t="s">
        <v>18</v>
      </c>
      <c r="C219" t="s">
        <v>42</v>
      </c>
      <c r="D219" t="s">
        <v>46</v>
      </c>
      <c r="E219">
        <v>2177</v>
      </c>
      <c r="F219">
        <v>250</v>
      </c>
      <c r="G219">
        <v>350</v>
      </c>
      <c r="H219">
        <v>761950</v>
      </c>
      <c r="I219">
        <v>30478</v>
      </c>
      <c r="J219">
        <v>731472</v>
      </c>
      <c r="K219">
        <v>566020</v>
      </c>
      <c r="L219">
        <v>165452</v>
      </c>
      <c r="M219">
        <v>41913</v>
      </c>
      <c r="N219">
        <v>10</v>
      </c>
      <c r="O219" t="s">
        <v>30</v>
      </c>
      <c r="P219" t="s">
        <v>15</v>
      </c>
    </row>
    <row r="220" spans="1:16" x14ac:dyDescent="0.35">
      <c r="A220" t="s">
        <v>8</v>
      </c>
      <c r="B220" t="s">
        <v>20</v>
      </c>
      <c r="C220" t="s">
        <v>42</v>
      </c>
      <c r="D220" t="s">
        <v>46</v>
      </c>
      <c r="E220">
        <v>1514</v>
      </c>
      <c r="F220">
        <v>250</v>
      </c>
      <c r="G220">
        <v>15</v>
      </c>
      <c r="H220">
        <v>22710</v>
      </c>
      <c r="I220">
        <v>908.4</v>
      </c>
      <c r="J220">
        <v>21801.599999999999</v>
      </c>
      <c r="K220">
        <v>15140</v>
      </c>
      <c r="L220">
        <v>6661.5999999999985</v>
      </c>
      <c r="M220">
        <v>41548</v>
      </c>
      <c r="N220">
        <v>10</v>
      </c>
      <c r="O220" t="s">
        <v>30</v>
      </c>
      <c r="P220" t="s">
        <v>14</v>
      </c>
    </row>
    <row r="221" spans="1:16" x14ac:dyDescent="0.35">
      <c r="A221" t="s">
        <v>10</v>
      </c>
      <c r="B221" t="s">
        <v>20</v>
      </c>
      <c r="C221" t="s">
        <v>43</v>
      </c>
      <c r="D221" t="s">
        <v>46</v>
      </c>
      <c r="E221">
        <v>1865</v>
      </c>
      <c r="F221">
        <v>260</v>
      </c>
      <c r="G221">
        <v>350</v>
      </c>
      <c r="H221">
        <v>652750</v>
      </c>
      <c r="I221">
        <v>26110</v>
      </c>
      <c r="J221">
        <v>626640</v>
      </c>
      <c r="K221">
        <v>484900</v>
      </c>
      <c r="L221">
        <v>141740</v>
      </c>
      <c r="M221">
        <v>41671</v>
      </c>
      <c r="N221">
        <v>2</v>
      </c>
      <c r="O221" t="s">
        <v>22</v>
      </c>
      <c r="P221" t="s">
        <v>15</v>
      </c>
    </row>
    <row r="222" spans="1:16" x14ac:dyDescent="0.35">
      <c r="A222" t="s">
        <v>9</v>
      </c>
      <c r="B222" t="s">
        <v>20</v>
      </c>
      <c r="C222" t="s">
        <v>43</v>
      </c>
      <c r="D222" t="s">
        <v>46</v>
      </c>
      <c r="E222">
        <v>1074</v>
      </c>
      <c r="F222">
        <v>260</v>
      </c>
      <c r="G222">
        <v>125</v>
      </c>
      <c r="H222">
        <v>134250</v>
      </c>
      <c r="I222">
        <v>5370</v>
      </c>
      <c r="J222">
        <v>128880</v>
      </c>
      <c r="K222">
        <v>128880</v>
      </c>
      <c r="L222">
        <v>0</v>
      </c>
      <c r="M222">
        <v>41730</v>
      </c>
      <c r="N222">
        <v>4</v>
      </c>
      <c r="O222" t="s">
        <v>24</v>
      </c>
      <c r="P222" t="s">
        <v>15</v>
      </c>
    </row>
    <row r="223" spans="1:16" x14ac:dyDescent="0.35">
      <c r="A223" t="s">
        <v>10</v>
      </c>
      <c r="B223" t="s">
        <v>19</v>
      </c>
      <c r="C223" t="s">
        <v>43</v>
      </c>
      <c r="D223" t="s">
        <v>46</v>
      </c>
      <c r="E223">
        <v>1907</v>
      </c>
      <c r="F223">
        <v>260</v>
      </c>
      <c r="G223">
        <v>350</v>
      </c>
      <c r="H223">
        <v>667450</v>
      </c>
      <c r="I223">
        <v>26698</v>
      </c>
      <c r="J223">
        <v>640752</v>
      </c>
      <c r="K223">
        <v>495820</v>
      </c>
      <c r="L223">
        <v>144932</v>
      </c>
      <c r="M223">
        <v>41883</v>
      </c>
      <c r="N223">
        <v>9</v>
      </c>
      <c r="O223" t="s">
        <v>29</v>
      </c>
      <c r="P223" t="s">
        <v>15</v>
      </c>
    </row>
    <row r="224" spans="1:16" x14ac:dyDescent="0.35">
      <c r="A224" t="s">
        <v>8</v>
      </c>
      <c r="B224" t="s">
        <v>17</v>
      </c>
      <c r="C224" t="s">
        <v>43</v>
      </c>
      <c r="D224" t="s">
        <v>46</v>
      </c>
      <c r="E224">
        <v>671</v>
      </c>
      <c r="F224">
        <v>260</v>
      </c>
      <c r="G224">
        <v>15</v>
      </c>
      <c r="H224">
        <v>10065</v>
      </c>
      <c r="I224">
        <v>402.6</v>
      </c>
      <c r="J224">
        <v>9662.4</v>
      </c>
      <c r="K224">
        <v>6710</v>
      </c>
      <c r="L224">
        <v>2952.3999999999996</v>
      </c>
      <c r="M224">
        <v>41548</v>
      </c>
      <c r="N224">
        <v>10</v>
      </c>
      <c r="O224" t="s">
        <v>30</v>
      </c>
      <c r="P224" t="s">
        <v>14</v>
      </c>
    </row>
    <row r="225" spans="1:16" x14ac:dyDescent="0.35">
      <c r="A225" t="s">
        <v>10</v>
      </c>
      <c r="B225" t="s">
        <v>16</v>
      </c>
      <c r="C225" t="s">
        <v>43</v>
      </c>
      <c r="D225" t="s">
        <v>46</v>
      </c>
      <c r="E225">
        <v>1778</v>
      </c>
      <c r="F225">
        <v>260</v>
      </c>
      <c r="G225">
        <v>350</v>
      </c>
      <c r="H225">
        <v>622300</v>
      </c>
      <c r="I225">
        <v>24892</v>
      </c>
      <c r="J225">
        <v>597408</v>
      </c>
      <c r="K225">
        <v>462280</v>
      </c>
      <c r="L225">
        <v>135128</v>
      </c>
      <c r="M225">
        <v>41609</v>
      </c>
      <c r="N225">
        <v>12</v>
      </c>
      <c r="O225" t="s">
        <v>32</v>
      </c>
      <c r="P225" t="s">
        <v>14</v>
      </c>
    </row>
    <row r="226" spans="1:16" x14ac:dyDescent="0.35">
      <c r="A226" t="s">
        <v>10</v>
      </c>
      <c r="B226" t="s">
        <v>19</v>
      </c>
      <c r="C226" t="s">
        <v>39</v>
      </c>
      <c r="D226" t="s">
        <v>47</v>
      </c>
      <c r="E226">
        <v>1159</v>
      </c>
      <c r="F226">
        <v>5</v>
      </c>
      <c r="G226">
        <v>7</v>
      </c>
      <c r="H226">
        <v>8113</v>
      </c>
      <c r="I226">
        <v>405.65</v>
      </c>
      <c r="J226">
        <v>7707.35</v>
      </c>
      <c r="K226">
        <v>5795</v>
      </c>
      <c r="L226">
        <v>1912.3500000000004</v>
      </c>
      <c r="M226">
        <v>41548</v>
      </c>
      <c r="N226">
        <v>10</v>
      </c>
      <c r="O226" t="s">
        <v>30</v>
      </c>
      <c r="P226" t="s">
        <v>14</v>
      </c>
    </row>
    <row r="227" spans="1:16" x14ac:dyDescent="0.35">
      <c r="A227" t="s">
        <v>10</v>
      </c>
      <c r="B227" t="s">
        <v>19</v>
      </c>
      <c r="C227" t="s">
        <v>40</v>
      </c>
      <c r="D227" t="s">
        <v>47</v>
      </c>
      <c r="E227">
        <v>1372</v>
      </c>
      <c r="F227">
        <v>10</v>
      </c>
      <c r="G227">
        <v>7</v>
      </c>
      <c r="H227">
        <v>9604</v>
      </c>
      <c r="I227">
        <v>480.2</v>
      </c>
      <c r="J227">
        <v>9123.7999999999993</v>
      </c>
      <c r="K227">
        <v>6860</v>
      </c>
      <c r="L227">
        <v>2263.7999999999993</v>
      </c>
      <c r="M227">
        <v>41640</v>
      </c>
      <c r="N227">
        <v>1</v>
      </c>
      <c r="O227" t="s">
        <v>21</v>
      </c>
      <c r="P227" t="s">
        <v>15</v>
      </c>
    </row>
    <row r="228" spans="1:16" x14ac:dyDescent="0.35">
      <c r="A228" t="s">
        <v>10</v>
      </c>
      <c r="B228" t="s">
        <v>16</v>
      </c>
      <c r="C228" t="s">
        <v>40</v>
      </c>
      <c r="D228" t="s">
        <v>47</v>
      </c>
      <c r="E228">
        <v>2349</v>
      </c>
      <c r="F228">
        <v>10</v>
      </c>
      <c r="G228">
        <v>7</v>
      </c>
      <c r="H228">
        <v>16443</v>
      </c>
      <c r="I228">
        <v>822.15</v>
      </c>
      <c r="J228">
        <v>15620.85</v>
      </c>
      <c r="K228">
        <v>11745</v>
      </c>
      <c r="L228">
        <v>3875.8500000000004</v>
      </c>
      <c r="M228">
        <v>41518</v>
      </c>
      <c r="N228">
        <v>9</v>
      </c>
      <c r="O228" t="s">
        <v>29</v>
      </c>
      <c r="P228" t="s">
        <v>14</v>
      </c>
    </row>
    <row r="229" spans="1:16" x14ac:dyDescent="0.35">
      <c r="A229" t="s">
        <v>10</v>
      </c>
      <c r="B229" t="s">
        <v>20</v>
      </c>
      <c r="C229" t="s">
        <v>40</v>
      </c>
      <c r="D229" t="s">
        <v>47</v>
      </c>
      <c r="E229">
        <v>2689</v>
      </c>
      <c r="F229">
        <v>10</v>
      </c>
      <c r="G229">
        <v>7</v>
      </c>
      <c r="H229">
        <v>18823</v>
      </c>
      <c r="I229">
        <v>941.15</v>
      </c>
      <c r="J229">
        <v>17881.849999999999</v>
      </c>
      <c r="K229">
        <v>13445</v>
      </c>
      <c r="L229">
        <v>4436.8499999999985</v>
      </c>
      <c r="M229">
        <v>41913</v>
      </c>
      <c r="N229">
        <v>10</v>
      </c>
      <c r="O229" t="s">
        <v>30</v>
      </c>
      <c r="P229" t="s">
        <v>15</v>
      </c>
    </row>
    <row r="230" spans="1:16" x14ac:dyDescent="0.35">
      <c r="A230" t="s">
        <v>11</v>
      </c>
      <c r="B230" t="s">
        <v>16</v>
      </c>
      <c r="C230" t="s">
        <v>40</v>
      </c>
      <c r="D230" t="s">
        <v>47</v>
      </c>
      <c r="E230">
        <v>2431</v>
      </c>
      <c r="F230">
        <v>10</v>
      </c>
      <c r="G230">
        <v>12</v>
      </c>
      <c r="H230">
        <v>29172</v>
      </c>
      <c r="I230">
        <v>1458.6</v>
      </c>
      <c r="J230">
        <v>27713.4</v>
      </c>
      <c r="K230">
        <v>7293</v>
      </c>
      <c r="L230">
        <v>20420.400000000001</v>
      </c>
      <c r="M230">
        <v>41974</v>
      </c>
      <c r="N230">
        <v>12</v>
      </c>
      <c r="O230" t="s">
        <v>32</v>
      </c>
      <c r="P230" t="s">
        <v>15</v>
      </c>
    </row>
    <row r="231" spans="1:16" x14ac:dyDescent="0.35">
      <c r="A231" t="s">
        <v>11</v>
      </c>
      <c r="B231" t="s">
        <v>16</v>
      </c>
      <c r="C231" t="s">
        <v>41</v>
      </c>
      <c r="D231" t="s">
        <v>47</v>
      </c>
      <c r="E231">
        <v>2431</v>
      </c>
      <c r="F231">
        <v>120</v>
      </c>
      <c r="G231">
        <v>12</v>
      </c>
      <c r="H231">
        <v>29172</v>
      </c>
      <c r="I231">
        <v>1458.6</v>
      </c>
      <c r="J231">
        <v>27713.4</v>
      </c>
      <c r="K231">
        <v>7293</v>
      </c>
      <c r="L231">
        <v>20420.400000000001</v>
      </c>
      <c r="M231">
        <v>41974</v>
      </c>
      <c r="N231">
        <v>12</v>
      </c>
      <c r="O231" t="s">
        <v>32</v>
      </c>
      <c r="P231" t="s">
        <v>15</v>
      </c>
    </row>
    <row r="232" spans="1:16" x14ac:dyDescent="0.35">
      <c r="A232" t="s">
        <v>10</v>
      </c>
      <c r="B232" t="s">
        <v>20</v>
      </c>
      <c r="C232" t="s">
        <v>42</v>
      </c>
      <c r="D232" t="s">
        <v>47</v>
      </c>
      <c r="E232">
        <v>2689</v>
      </c>
      <c r="F232">
        <v>250</v>
      </c>
      <c r="G232">
        <v>7</v>
      </c>
      <c r="H232">
        <v>18823</v>
      </c>
      <c r="I232">
        <v>941.15</v>
      </c>
      <c r="J232">
        <v>17881.849999999999</v>
      </c>
      <c r="K232">
        <v>13445</v>
      </c>
      <c r="L232">
        <v>4436.8499999999985</v>
      </c>
      <c r="M232">
        <v>41913</v>
      </c>
      <c r="N232">
        <v>10</v>
      </c>
      <c r="O232" t="s">
        <v>30</v>
      </c>
      <c r="P232" t="s">
        <v>15</v>
      </c>
    </row>
    <row r="233" spans="1:16" x14ac:dyDescent="0.35">
      <c r="A233" t="s">
        <v>10</v>
      </c>
      <c r="B233" t="s">
        <v>20</v>
      </c>
      <c r="C233" t="s">
        <v>43</v>
      </c>
      <c r="D233" t="s">
        <v>47</v>
      </c>
      <c r="E233">
        <v>1683</v>
      </c>
      <c r="F233">
        <v>260</v>
      </c>
      <c r="G233">
        <v>7</v>
      </c>
      <c r="H233">
        <v>11781</v>
      </c>
      <c r="I233">
        <v>589.04999999999995</v>
      </c>
      <c r="J233">
        <v>11191.95</v>
      </c>
      <c r="K233">
        <v>8415</v>
      </c>
      <c r="L233">
        <v>2776.9500000000007</v>
      </c>
      <c r="M233">
        <v>41821</v>
      </c>
      <c r="N233">
        <v>7</v>
      </c>
      <c r="O233" t="s">
        <v>27</v>
      </c>
      <c r="P233" t="s">
        <v>15</v>
      </c>
    </row>
    <row r="234" spans="1:16" x14ac:dyDescent="0.35">
      <c r="A234" t="s">
        <v>11</v>
      </c>
      <c r="B234" t="s">
        <v>20</v>
      </c>
      <c r="C234" t="s">
        <v>43</v>
      </c>
      <c r="D234" t="s">
        <v>47</v>
      </c>
      <c r="E234">
        <v>1123</v>
      </c>
      <c r="F234">
        <v>260</v>
      </c>
      <c r="G234">
        <v>12</v>
      </c>
      <c r="H234">
        <v>13476</v>
      </c>
      <c r="I234">
        <v>673.8</v>
      </c>
      <c r="J234">
        <v>12802.2</v>
      </c>
      <c r="K234">
        <v>3369</v>
      </c>
      <c r="L234">
        <v>9433.2000000000007</v>
      </c>
      <c r="M234">
        <v>41852</v>
      </c>
      <c r="N234">
        <v>8</v>
      </c>
      <c r="O234" t="s">
        <v>28</v>
      </c>
      <c r="P234" t="s">
        <v>15</v>
      </c>
    </row>
    <row r="235" spans="1:16" x14ac:dyDescent="0.35">
      <c r="A235" t="s">
        <v>10</v>
      </c>
      <c r="B235" t="s">
        <v>19</v>
      </c>
      <c r="C235" t="s">
        <v>43</v>
      </c>
      <c r="D235" t="s">
        <v>47</v>
      </c>
      <c r="E235">
        <v>1159</v>
      </c>
      <c r="F235">
        <v>260</v>
      </c>
      <c r="G235">
        <v>7</v>
      </c>
      <c r="H235">
        <v>8113</v>
      </c>
      <c r="I235">
        <v>405.65</v>
      </c>
      <c r="J235">
        <v>7707.35</v>
      </c>
      <c r="K235">
        <v>5795</v>
      </c>
      <c r="L235">
        <v>1912.3500000000004</v>
      </c>
      <c r="M235">
        <v>41548</v>
      </c>
      <c r="N235">
        <v>10</v>
      </c>
      <c r="O235" t="s">
        <v>30</v>
      </c>
      <c r="P235" t="s">
        <v>14</v>
      </c>
    </row>
    <row r="236" spans="1:16" x14ac:dyDescent="0.35">
      <c r="A236" t="s">
        <v>11</v>
      </c>
      <c r="B236" t="s">
        <v>18</v>
      </c>
      <c r="C236" t="s">
        <v>38</v>
      </c>
      <c r="D236" t="s">
        <v>47</v>
      </c>
      <c r="E236">
        <v>1865</v>
      </c>
      <c r="F236">
        <v>3</v>
      </c>
      <c r="G236">
        <v>12</v>
      </c>
      <c r="H236">
        <v>22380</v>
      </c>
      <c r="I236">
        <v>1119</v>
      </c>
      <c r="J236">
        <v>21261</v>
      </c>
      <c r="K236">
        <v>5595</v>
      </c>
      <c r="L236">
        <v>15666</v>
      </c>
      <c r="M236">
        <v>41671</v>
      </c>
      <c r="N236">
        <v>2</v>
      </c>
      <c r="O236" t="s">
        <v>22</v>
      </c>
      <c r="P236" t="s">
        <v>15</v>
      </c>
    </row>
    <row r="237" spans="1:16" x14ac:dyDescent="0.35">
      <c r="A237" t="s">
        <v>11</v>
      </c>
      <c r="B237" t="s">
        <v>19</v>
      </c>
      <c r="C237" t="s">
        <v>38</v>
      </c>
      <c r="D237" t="s">
        <v>47</v>
      </c>
      <c r="E237">
        <v>1116</v>
      </c>
      <c r="F237">
        <v>3</v>
      </c>
      <c r="G237">
        <v>12</v>
      </c>
      <c r="H237">
        <v>13392</v>
      </c>
      <c r="I237">
        <v>669.6</v>
      </c>
      <c r="J237">
        <v>12722.4</v>
      </c>
      <c r="K237">
        <v>3348</v>
      </c>
      <c r="L237">
        <v>9374.4</v>
      </c>
      <c r="M237">
        <v>41671</v>
      </c>
      <c r="N237">
        <v>2</v>
      </c>
      <c r="O237" t="s">
        <v>22</v>
      </c>
      <c r="P237" t="s">
        <v>15</v>
      </c>
    </row>
    <row r="238" spans="1:16" x14ac:dyDescent="0.35">
      <c r="A238" t="s">
        <v>10</v>
      </c>
      <c r="B238" t="s">
        <v>18</v>
      </c>
      <c r="C238" t="s">
        <v>38</v>
      </c>
      <c r="D238" t="s">
        <v>47</v>
      </c>
      <c r="E238">
        <v>1563</v>
      </c>
      <c r="F238">
        <v>3</v>
      </c>
      <c r="G238">
        <v>20</v>
      </c>
      <c r="H238">
        <v>31260</v>
      </c>
      <c r="I238">
        <v>1563</v>
      </c>
      <c r="J238">
        <v>29697</v>
      </c>
      <c r="K238">
        <v>15630</v>
      </c>
      <c r="L238">
        <v>14067</v>
      </c>
      <c r="M238">
        <v>41760</v>
      </c>
      <c r="N238">
        <v>5</v>
      </c>
      <c r="O238" t="s">
        <v>25</v>
      </c>
      <c r="P238" t="s">
        <v>15</v>
      </c>
    </row>
    <row r="239" spans="1:16" x14ac:dyDescent="0.35">
      <c r="A239" t="s">
        <v>7</v>
      </c>
      <c r="B239" t="s">
        <v>17</v>
      </c>
      <c r="C239" t="s">
        <v>38</v>
      </c>
      <c r="D239" t="s">
        <v>47</v>
      </c>
      <c r="E239">
        <v>991</v>
      </c>
      <c r="F239">
        <v>3</v>
      </c>
      <c r="G239">
        <v>300</v>
      </c>
      <c r="H239">
        <v>297300</v>
      </c>
      <c r="I239">
        <v>14865</v>
      </c>
      <c r="J239">
        <v>282435</v>
      </c>
      <c r="K239">
        <v>247750</v>
      </c>
      <c r="L239">
        <v>34685</v>
      </c>
      <c r="M239">
        <v>41791</v>
      </c>
      <c r="N239">
        <v>6</v>
      </c>
      <c r="O239" t="s">
        <v>26</v>
      </c>
      <c r="P239" t="s">
        <v>15</v>
      </c>
    </row>
    <row r="240" spans="1:16" x14ac:dyDescent="0.35">
      <c r="A240" t="s">
        <v>10</v>
      </c>
      <c r="B240" t="s">
        <v>19</v>
      </c>
      <c r="C240" t="s">
        <v>38</v>
      </c>
      <c r="D240" t="s">
        <v>47</v>
      </c>
      <c r="E240">
        <v>1016</v>
      </c>
      <c r="F240">
        <v>3</v>
      </c>
      <c r="G240">
        <v>7</v>
      </c>
      <c r="H240">
        <v>7112</v>
      </c>
      <c r="I240">
        <v>355.6</v>
      </c>
      <c r="J240">
        <v>6756.4</v>
      </c>
      <c r="K240">
        <v>5080</v>
      </c>
      <c r="L240">
        <v>1676.3999999999996</v>
      </c>
      <c r="M240">
        <v>41579</v>
      </c>
      <c r="N240">
        <v>11</v>
      </c>
      <c r="O240" t="s">
        <v>31</v>
      </c>
      <c r="P240" t="s">
        <v>14</v>
      </c>
    </row>
    <row r="241" spans="1:16" x14ac:dyDescent="0.35">
      <c r="A241" t="s">
        <v>8</v>
      </c>
      <c r="B241" t="s">
        <v>20</v>
      </c>
      <c r="C241" t="s">
        <v>38</v>
      </c>
      <c r="D241" t="s">
        <v>47</v>
      </c>
      <c r="E241">
        <v>2791</v>
      </c>
      <c r="F241">
        <v>3</v>
      </c>
      <c r="G241">
        <v>15</v>
      </c>
      <c r="H241">
        <v>41865</v>
      </c>
      <c r="I241">
        <v>2093.25</v>
      </c>
      <c r="J241">
        <v>39771.75</v>
      </c>
      <c r="K241">
        <v>27910</v>
      </c>
      <c r="L241">
        <v>11861.75</v>
      </c>
      <c r="M241">
        <v>41944</v>
      </c>
      <c r="N241">
        <v>11</v>
      </c>
      <c r="O241" t="s">
        <v>31</v>
      </c>
      <c r="P241" t="s">
        <v>15</v>
      </c>
    </row>
    <row r="242" spans="1:16" x14ac:dyDescent="0.35">
      <c r="A242" t="s">
        <v>10</v>
      </c>
      <c r="B242" t="s">
        <v>17</v>
      </c>
      <c r="C242" t="s">
        <v>38</v>
      </c>
      <c r="D242" t="s">
        <v>47</v>
      </c>
      <c r="E242">
        <v>570</v>
      </c>
      <c r="F242">
        <v>3</v>
      </c>
      <c r="G242">
        <v>7</v>
      </c>
      <c r="H242">
        <v>3990</v>
      </c>
      <c r="I242">
        <v>199.5</v>
      </c>
      <c r="J242">
        <v>3790.5</v>
      </c>
      <c r="K242">
        <v>2850</v>
      </c>
      <c r="L242">
        <v>940.5</v>
      </c>
      <c r="M242">
        <v>41974</v>
      </c>
      <c r="N242">
        <v>12</v>
      </c>
      <c r="O242" t="s">
        <v>32</v>
      </c>
      <c r="P242" t="s">
        <v>15</v>
      </c>
    </row>
    <row r="243" spans="1:16" x14ac:dyDescent="0.35">
      <c r="A243" t="s">
        <v>10</v>
      </c>
      <c r="B243" t="s">
        <v>18</v>
      </c>
      <c r="C243" t="s">
        <v>38</v>
      </c>
      <c r="D243" t="s">
        <v>47</v>
      </c>
      <c r="E243">
        <v>2487</v>
      </c>
      <c r="F243">
        <v>3</v>
      </c>
      <c r="G243">
        <v>7</v>
      </c>
      <c r="H243">
        <v>17409</v>
      </c>
      <c r="I243">
        <v>870.45</v>
      </c>
      <c r="J243">
        <v>16538.55</v>
      </c>
      <c r="K243">
        <v>12435</v>
      </c>
      <c r="L243">
        <v>4103.5499999999993</v>
      </c>
      <c r="M243">
        <v>41974</v>
      </c>
      <c r="N243">
        <v>12</v>
      </c>
      <c r="O243" t="s">
        <v>32</v>
      </c>
      <c r="P243" t="s">
        <v>15</v>
      </c>
    </row>
    <row r="244" spans="1:16" x14ac:dyDescent="0.35">
      <c r="A244" t="s">
        <v>10</v>
      </c>
      <c r="B244" t="s">
        <v>18</v>
      </c>
      <c r="C244" t="s">
        <v>39</v>
      </c>
      <c r="D244" t="s">
        <v>47</v>
      </c>
      <c r="E244">
        <v>1384.5</v>
      </c>
      <c r="F244">
        <v>5</v>
      </c>
      <c r="G244">
        <v>350</v>
      </c>
      <c r="H244">
        <v>484575</v>
      </c>
      <c r="I244">
        <v>24228.75</v>
      </c>
      <c r="J244">
        <v>460346.25</v>
      </c>
      <c r="K244">
        <v>359970</v>
      </c>
      <c r="L244">
        <v>100376.25</v>
      </c>
      <c r="M244">
        <v>41640</v>
      </c>
      <c r="N244">
        <v>1</v>
      </c>
      <c r="O244" t="s">
        <v>21</v>
      </c>
      <c r="P244" t="s">
        <v>15</v>
      </c>
    </row>
    <row r="245" spans="1:16" x14ac:dyDescent="0.35">
      <c r="A245" t="s">
        <v>9</v>
      </c>
      <c r="B245" t="s">
        <v>17</v>
      </c>
      <c r="C245" t="s">
        <v>39</v>
      </c>
      <c r="D245" t="s">
        <v>47</v>
      </c>
      <c r="E245">
        <v>3627</v>
      </c>
      <c r="F245">
        <v>5</v>
      </c>
      <c r="G245">
        <v>125</v>
      </c>
      <c r="H245">
        <v>453375</v>
      </c>
      <c r="I245">
        <v>22668.75</v>
      </c>
      <c r="J245">
        <v>430706.25</v>
      </c>
      <c r="K245">
        <v>435240</v>
      </c>
      <c r="L245">
        <v>-4533.75</v>
      </c>
      <c r="M245">
        <v>41821</v>
      </c>
      <c r="N245">
        <v>7</v>
      </c>
      <c r="O245" t="s">
        <v>27</v>
      </c>
      <c r="P245" t="s">
        <v>15</v>
      </c>
    </row>
    <row r="246" spans="1:16" x14ac:dyDescent="0.35">
      <c r="A246" t="s">
        <v>10</v>
      </c>
      <c r="B246" t="s">
        <v>20</v>
      </c>
      <c r="C246" t="s">
        <v>39</v>
      </c>
      <c r="D246" t="s">
        <v>47</v>
      </c>
      <c r="E246">
        <v>720</v>
      </c>
      <c r="F246">
        <v>5</v>
      </c>
      <c r="G246">
        <v>350</v>
      </c>
      <c r="H246">
        <v>252000</v>
      </c>
      <c r="I246">
        <v>12600</v>
      </c>
      <c r="J246">
        <v>239400</v>
      </c>
      <c r="K246">
        <v>187200</v>
      </c>
      <c r="L246">
        <v>52200</v>
      </c>
      <c r="M246">
        <v>41518</v>
      </c>
      <c r="N246">
        <v>9</v>
      </c>
      <c r="O246" t="s">
        <v>29</v>
      </c>
      <c r="P246" t="s">
        <v>14</v>
      </c>
    </row>
    <row r="247" spans="1:16" x14ac:dyDescent="0.35">
      <c r="A247" t="s">
        <v>11</v>
      </c>
      <c r="B247" t="s">
        <v>19</v>
      </c>
      <c r="C247" t="s">
        <v>39</v>
      </c>
      <c r="D247" t="s">
        <v>47</v>
      </c>
      <c r="E247">
        <v>2342</v>
      </c>
      <c r="F247">
        <v>5</v>
      </c>
      <c r="G247">
        <v>12</v>
      </c>
      <c r="H247">
        <v>28104</v>
      </c>
      <c r="I247">
        <v>1405.2</v>
      </c>
      <c r="J247">
        <v>26698.799999999999</v>
      </c>
      <c r="K247">
        <v>7026</v>
      </c>
      <c r="L247">
        <v>19672.8</v>
      </c>
      <c r="M247">
        <v>41944</v>
      </c>
      <c r="N247">
        <v>11</v>
      </c>
      <c r="O247" t="s">
        <v>31</v>
      </c>
      <c r="P247" t="s">
        <v>15</v>
      </c>
    </row>
    <row r="248" spans="1:16" x14ac:dyDescent="0.35">
      <c r="A248" t="s">
        <v>7</v>
      </c>
      <c r="B248" t="s">
        <v>20</v>
      </c>
      <c r="C248" t="s">
        <v>39</v>
      </c>
      <c r="D248" t="s">
        <v>47</v>
      </c>
      <c r="E248">
        <v>1100</v>
      </c>
      <c r="F248">
        <v>5</v>
      </c>
      <c r="G248">
        <v>300</v>
      </c>
      <c r="H248">
        <v>330000</v>
      </c>
      <c r="I248">
        <v>16500</v>
      </c>
      <c r="J248">
        <v>313500</v>
      </c>
      <c r="K248">
        <v>275000</v>
      </c>
      <c r="L248">
        <v>38500</v>
      </c>
      <c r="M248">
        <v>41609</v>
      </c>
      <c r="N248">
        <v>12</v>
      </c>
      <c r="O248" t="s">
        <v>32</v>
      </c>
      <c r="P248" t="s">
        <v>14</v>
      </c>
    </row>
    <row r="249" spans="1:16" x14ac:dyDescent="0.35">
      <c r="A249" t="s">
        <v>10</v>
      </c>
      <c r="B249" t="s">
        <v>18</v>
      </c>
      <c r="C249" t="s">
        <v>40</v>
      </c>
      <c r="D249" t="s">
        <v>47</v>
      </c>
      <c r="E249">
        <v>1303</v>
      </c>
      <c r="F249">
        <v>10</v>
      </c>
      <c r="G249">
        <v>20</v>
      </c>
      <c r="H249">
        <v>26060</v>
      </c>
      <c r="I249">
        <v>1303</v>
      </c>
      <c r="J249">
        <v>24757</v>
      </c>
      <c r="K249">
        <v>13030</v>
      </c>
      <c r="L249">
        <v>11727</v>
      </c>
      <c r="M249">
        <v>41671</v>
      </c>
      <c r="N249">
        <v>2</v>
      </c>
      <c r="O249" t="s">
        <v>22</v>
      </c>
      <c r="P249" t="s">
        <v>15</v>
      </c>
    </row>
    <row r="250" spans="1:16" x14ac:dyDescent="0.35">
      <c r="A250" t="s">
        <v>9</v>
      </c>
      <c r="B250" t="s">
        <v>17</v>
      </c>
      <c r="C250" t="s">
        <v>40</v>
      </c>
      <c r="D250" t="s">
        <v>47</v>
      </c>
      <c r="E250">
        <v>2992</v>
      </c>
      <c r="F250">
        <v>10</v>
      </c>
      <c r="G250">
        <v>125</v>
      </c>
      <c r="H250">
        <v>374000</v>
      </c>
      <c r="I250">
        <v>18700</v>
      </c>
      <c r="J250">
        <v>355300</v>
      </c>
      <c r="K250">
        <v>359040</v>
      </c>
      <c r="L250">
        <v>-3740</v>
      </c>
      <c r="M250">
        <v>41699</v>
      </c>
      <c r="N250">
        <v>3</v>
      </c>
      <c r="O250" t="s">
        <v>23</v>
      </c>
      <c r="P250" t="s">
        <v>15</v>
      </c>
    </row>
    <row r="251" spans="1:16" x14ac:dyDescent="0.35">
      <c r="A251" t="s">
        <v>9</v>
      </c>
      <c r="B251" t="s">
        <v>18</v>
      </c>
      <c r="C251" t="s">
        <v>40</v>
      </c>
      <c r="D251" t="s">
        <v>47</v>
      </c>
      <c r="E251">
        <v>2385</v>
      </c>
      <c r="F251">
        <v>10</v>
      </c>
      <c r="G251">
        <v>125</v>
      </c>
      <c r="H251">
        <v>298125</v>
      </c>
      <c r="I251">
        <v>14906.25</v>
      </c>
      <c r="J251">
        <v>283218.75</v>
      </c>
      <c r="K251">
        <v>286200</v>
      </c>
      <c r="L251">
        <v>-2981.25</v>
      </c>
      <c r="M251">
        <v>41699</v>
      </c>
      <c r="N251">
        <v>3</v>
      </c>
      <c r="O251" t="s">
        <v>23</v>
      </c>
      <c r="P251" t="s">
        <v>15</v>
      </c>
    </row>
    <row r="252" spans="1:16" x14ac:dyDescent="0.35">
      <c r="A252" t="s">
        <v>7</v>
      </c>
      <c r="B252" t="s">
        <v>20</v>
      </c>
      <c r="C252" t="s">
        <v>40</v>
      </c>
      <c r="D252" t="s">
        <v>47</v>
      </c>
      <c r="E252">
        <v>1607</v>
      </c>
      <c r="F252">
        <v>10</v>
      </c>
      <c r="G252">
        <v>300</v>
      </c>
      <c r="H252">
        <v>482100</v>
      </c>
      <c r="I252">
        <v>24105</v>
      </c>
      <c r="J252">
        <v>457995</v>
      </c>
      <c r="K252">
        <v>401750</v>
      </c>
      <c r="L252">
        <v>56245</v>
      </c>
      <c r="M252">
        <v>41730</v>
      </c>
      <c r="N252">
        <v>4</v>
      </c>
      <c r="O252" t="s">
        <v>24</v>
      </c>
      <c r="P252" t="s">
        <v>15</v>
      </c>
    </row>
    <row r="253" spans="1:16" x14ac:dyDescent="0.35">
      <c r="A253" t="s">
        <v>10</v>
      </c>
      <c r="B253" t="s">
        <v>17</v>
      </c>
      <c r="C253" t="s">
        <v>40</v>
      </c>
      <c r="D253" t="s">
        <v>47</v>
      </c>
      <c r="E253">
        <v>2327</v>
      </c>
      <c r="F253">
        <v>10</v>
      </c>
      <c r="G253">
        <v>7</v>
      </c>
      <c r="H253">
        <v>16289</v>
      </c>
      <c r="I253">
        <v>814.45</v>
      </c>
      <c r="J253">
        <v>15474.55</v>
      </c>
      <c r="K253">
        <v>11635</v>
      </c>
      <c r="L253">
        <v>3839.5499999999993</v>
      </c>
      <c r="M253">
        <v>41760</v>
      </c>
      <c r="N253">
        <v>5</v>
      </c>
      <c r="O253" t="s">
        <v>25</v>
      </c>
      <c r="P253" t="s">
        <v>15</v>
      </c>
    </row>
    <row r="254" spans="1:16" x14ac:dyDescent="0.35">
      <c r="A254" t="s">
        <v>7</v>
      </c>
      <c r="B254" t="s">
        <v>17</v>
      </c>
      <c r="C254" t="s">
        <v>40</v>
      </c>
      <c r="D254" t="s">
        <v>47</v>
      </c>
      <c r="E254">
        <v>991</v>
      </c>
      <c r="F254">
        <v>10</v>
      </c>
      <c r="G254">
        <v>300</v>
      </c>
      <c r="H254">
        <v>297300</v>
      </c>
      <c r="I254">
        <v>14865</v>
      </c>
      <c r="J254">
        <v>282435</v>
      </c>
      <c r="K254">
        <v>247750</v>
      </c>
      <c r="L254">
        <v>34685</v>
      </c>
      <c r="M254">
        <v>41791</v>
      </c>
      <c r="N254">
        <v>6</v>
      </c>
      <c r="O254" t="s">
        <v>26</v>
      </c>
      <c r="P254" t="s">
        <v>15</v>
      </c>
    </row>
    <row r="255" spans="1:16" x14ac:dyDescent="0.35">
      <c r="A255" t="s">
        <v>10</v>
      </c>
      <c r="B255" t="s">
        <v>17</v>
      </c>
      <c r="C255" t="s">
        <v>40</v>
      </c>
      <c r="D255" t="s">
        <v>47</v>
      </c>
      <c r="E255">
        <v>602</v>
      </c>
      <c r="F255">
        <v>10</v>
      </c>
      <c r="G255">
        <v>350</v>
      </c>
      <c r="H255">
        <v>210700</v>
      </c>
      <c r="I255">
        <v>10535</v>
      </c>
      <c r="J255">
        <v>200165</v>
      </c>
      <c r="K255">
        <v>156520</v>
      </c>
      <c r="L255">
        <v>43645</v>
      </c>
      <c r="M255">
        <v>41791</v>
      </c>
      <c r="N255">
        <v>6</v>
      </c>
      <c r="O255" t="s">
        <v>26</v>
      </c>
      <c r="P255" t="s">
        <v>15</v>
      </c>
    </row>
    <row r="256" spans="1:16" x14ac:dyDescent="0.35">
      <c r="A256" t="s">
        <v>8</v>
      </c>
      <c r="B256" t="s">
        <v>18</v>
      </c>
      <c r="C256" t="s">
        <v>40</v>
      </c>
      <c r="D256" t="s">
        <v>47</v>
      </c>
      <c r="E256">
        <v>2620</v>
      </c>
      <c r="F256">
        <v>10</v>
      </c>
      <c r="G256">
        <v>15</v>
      </c>
      <c r="H256">
        <v>39300</v>
      </c>
      <c r="I256">
        <v>1965</v>
      </c>
      <c r="J256">
        <v>37335</v>
      </c>
      <c r="K256">
        <v>26200</v>
      </c>
      <c r="L256">
        <v>11135</v>
      </c>
      <c r="M256">
        <v>41883</v>
      </c>
      <c r="N256">
        <v>9</v>
      </c>
      <c r="O256" t="s">
        <v>29</v>
      </c>
      <c r="P256" t="s">
        <v>15</v>
      </c>
    </row>
    <row r="257" spans="1:16" x14ac:dyDescent="0.35">
      <c r="A257" t="s">
        <v>10</v>
      </c>
      <c r="B257" t="s">
        <v>16</v>
      </c>
      <c r="C257" t="s">
        <v>40</v>
      </c>
      <c r="D257" t="s">
        <v>47</v>
      </c>
      <c r="E257">
        <v>1228</v>
      </c>
      <c r="F257">
        <v>10</v>
      </c>
      <c r="G257">
        <v>350</v>
      </c>
      <c r="H257">
        <v>429800</v>
      </c>
      <c r="I257">
        <v>21490</v>
      </c>
      <c r="J257">
        <v>408310</v>
      </c>
      <c r="K257">
        <v>319280</v>
      </c>
      <c r="L257">
        <v>89030</v>
      </c>
      <c r="M257">
        <v>41548</v>
      </c>
      <c r="N257">
        <v>10</v>
      </c>
      <c r="O257" t="s">
        <v>30</v>
      </c>
      <c r="P257" t="s">
        <v>14</v>
      </c>
    </row>
    <row r="258" spans="1:16" x14ac:dyDescent="0.35">
      <c r="A258" t="s">
        <v>10</v>
      </c>
      <c r="B258" t="s">
        <v>16</v>
      </c>
      <c r="C258" t="s">
        <v>40</v>
      </c>
      <c r="D258" t="s">
        <v>47</v>
      </c>
      <c r="E258">
        <v>1389</v>
      </c>
      <c r="F258">
        <v>10</v>
      </c>
      <c r="G258">
        <v>20</v>
      </c>
      <c r="H258">
        <v>27780</v>
      </c>
      <c r="I258">
        <v>1389</v>
      </c>
      <c r="J258">
        <v>26391</v>
      </c>
      <c r="K258">
        <v>13890</v>
      </c>
      <c r="L258">
        <v>12501</v>
      </c>
      <c r="M258">
        <v>41548</v>
      </c>
      <c r="N258">
        <v>10</v>
      </c>
      <c r="O258" t="s">
        <v>30</v>
      </c>
      <c r="P258" t="s">
        <v>14</v>
      </c>
    </row>
    <row r="259" spans="1:16" x14ac:dyDescent="0.35">
      <c r="A259" t="s">
        <v>9</v>
      </c>
      <c r="B259" t="s">
        <v>17</v>
      </c>
      <c r="C259" t="s">
        <v>40</v>
      </c>
      <c r="D259" t="s">
        <v>47</v>
      </c>
      <c r="E259">
        <v>861</v>
      </c>
      <c r="F259">
        <v>10</v>
      </c>
      <c r="G259">
        <v>125</v>
      </c>
      <c r="H259">
        <v>107625</v>
      </c>
      <c r="I259">
        <v>5381.25</v>
      </c>
      <c r="J259">
        <v>102243.75</v>
      </c>
      <c r="K259">
        <v>103320</v>
      </c>
      <c r="L259">
        <v>-1076.25</v>
      </c>
      <c r="M259">
        <v>41913</v>
      </c>
      <c r="N259">
        <v>10</v>
      </c>
      <c r="O259" t="s">
        <v>30</v>
      </c>
      <c r="P259" t="s">
        <v>15</v>
      </c>
    </row>
    <row r="260" spans="1:16" x14ac:dyDescent="0.35">
      <c r="A260" t="s">
        <v>9</v>
      </c>
      <c r="B260" t="s">
        <v>18</v>
      </c>
      <c r="C260" t="s">
        <v>40</v>
      </c>
      <c r="D260" t="s">
        <v>47</v>
      </c>
      <c r="E260">
        <v>704</v>
      </c>
      <c r="F260">
        <v>10</v>
      </c>
      <c r="G260">
        <v>125</v>
      </c>
      <c r="H260">
        <v>88000</v>
      </c>
      <c r="I260">
        <v>4400</v>
      </c>
      <c r="J260">
        <v>83600</v>
      </c>
      <c r="K260">
        <v>84480</v>
      </c>
      <c r="L260">
        <v>-880</v>
      </c>
      <c r="M260">
        <v>41548</v>
      </c>
      <c r="N260">
        <v>10</v>
      </c>
      <c r="O260" t="s">
        <v>30</v>
      </c>
      <c r="P260" t="s">
        <v>14</v>
      </c>
    </row>
    <row r="261" spans="1:16" x14ac:dyDescent="0.35">
      <c r="A261" t="s">
        <v>10</v>
      </c>
      <c r="B261" t="s">
        <v>16</v>
      </c>
      <c r="C261" t="s">
        <v>40</v>
      </c>
      <c r="D261" t="s">
        <v>47</v>
      </c>
      <c r="E261">
        <v>1802</v>
      </c>
      <c r="F261">
        <v>10</v>
      </c>
      <c r="G261">
        <v>20</v>
      </c>
      <c r="H261">
        <v>36040</v>
      </c>
      <c r="I261">
        <v>1802</v>
      </c>
      <c r="J261">
        <v>34238</v>
      </c>
      <c r="K261">
        <v>18020</v>
      </c>
      <c r="L261">
        <v>16218</v>
      </c>
      <c r="M261">
        <v>41609</v>
      </c>
      <c r="N261">
        <v>12</v>
      </c>
      <c r="O261" t="s">
        <v>32</v>
      </c>
      <c r="P261" t="s">
        <v>14</v>
      </c>
    </row>
    <row r="262" spans="1:16" x14ac:dyDescent="0.35">
      <c r="A262" t="s">
        <v>10</v>
      </c>
      <c r="B262" t="s">
        <v>17</v>
      </c>
      <c r="C262" t="s">
        <v>40</v>
      </c>
      <c r="D262" t="s">
        <v>47</v>
      </c>
      <c r="E262">
        <v>2663</v>
      </c>
      <c r="F262">
        <v>10</v>
      </c>
      <c r="G262">
        <v>20</v>
      </c>
      <c r="H262">
        <v>53260</v>
      </c>
      <c r="I262">
        <v>2663</v>
      </c>
      <c r="J262">
        <v>50597</v>
      </c>
      <c r="K262">
        <v>26630</v>
      </c>
      <c r="L262">
        <v>23967</v>
      </c>
      <c r="M262">
        <v>41974</v>
      </c>
      <c r="N262">
        <v>12</v>
      </c>
      <c r="O262" t="s">
        <v>32</v>
      </c>
      <c r="P262" t="s">
        <v>15</v>
      </c>
    </row>
    <row r="263" spans="1:16" x14ac:dyDescent="0.35">
      <c r="A263" t="s">
        <v>10</v>
      </c>
      <c r="B263" t="s">
        <v>18</v>
      </c>
      <c r="C263" t="s">
        <v>40</v>
      </c>
      <c r="D263" t="s">
        <v>47</v>
      </c>
      <c r="E263">
        <v>2136</v>
      </c>
      <c r="F263">
        <v>10</v>
      </c>
      <c r="G263">
        <v>7</v>
      </c>
      <c r="H263">
        <v>14952</v>
      </c>
      <c r="I263">
        <v>747.6</v>
      </c>
      <c r="J263">
        <v>14204.4</v>
      </c>
      <c r="K263">
        <v>10680</v>
      </c>
      <c r="L263">
        <v>3524.3999999999996</v>
      </c>
      <c r="M263">
        <v>41609</v>
      </c>
      <c r="N263">
        <v>12</v>
      </c>
      <c r="O263" t="s">
        <v>32</v>
      </c>
      <c r="P263" t="s">
        <v>14</v>
      </c>
    </row>
    <row r="264" spans="1:16" x14ac:dyDescent="0.35">
      <c r="A264" t="s">
        <v>8</v>
      </c>
      <c r="B264" t="s">
        <v>19</v>
      </c>
      <c r="C264" t="s">
        <v>40</v>
      </c>
      <c r="D264" t="s">
        <v>47</v>
      </c>
      <c r="E264">
        <v>2116</v>
      </c>
      <c r="F264">
        <v>10</v>
      </c>
      <c r="G264">
        <v>15</v>
      </c>
      <c r="H264">
        <v>31740</v>
      </c>
      <c r="I264">
        <v>1587</v>
      </c>
      <c r="J264">
        <v>30153</v>
      </c>
      <c r="K264">
        <v>21160</v>
      </c>
      <c r="L264">
        <v>8993</v>
      </c>
      <c r="M264">
        <v>41609</v>
      </c>
      <c r="N264">
        <v>12</v>
      </c>
      <c r="O264" t="s">
        <v>32</v>
      </c>
      <c r="P264" t="s">
        <v>14</v>
      </c>
    </row>
    <row r="265" spans="1:16" x14ac:dyDescent="0.35">
      <c r="A265" t="s">
        <v>8</v>
      </c>
      <c r="B265" t="s">
        <v>17</v>
      </c>
      <c r="C265" t="s">
        <v>41</v>
      </c>
      <c r="D265" t="s">
        <v>47</v>
      </c>
      <c r="E265">
        <v>555</v>
      </c>
      <c r="F265">
        <v>120</v>
      </c>
      <c r="G265">
        <v>15</v>
      </c>
      <c r="H265">
        <v>8325</v>
      </c>
      <c r="I265">
        <v>416.25</v>
      </c>
      <c r="J265">
        <v>7908.75</v>
      </c>
      <c r="K265">
        <v>5550</v>
      </c>
      <c r="L265">
        <v>2358.75</v>
      </c>
      <c r="M265">
        <v>41640</v>
      </c>
      <c r="N265">
        <v>1</v>
      </c>
      <c r="O265" t="s">
        <v>21</v>
      </c>
      <c r="P265" t="s">
        <v>15</v>
      </c>
    </row>
    <row r="266" spans="1:16" x14ac:dyDescent="0.35">
      <c r="A266" t="s">
        <v>8</v>
      </c>
      <c r="B266" t="s">
        <v>20</v>
      </c>
      <c r="C266" t="s">
        <v>41</v>
      </c>
      <c r="D266" t="s">
        <v>47</v>
      </c>
      <c r="E266">
        <v>2861</v>
      </c>
      <c r="F266">
        <v>120</v>
      </c>
      <c r="G266">
        <v>15</v>
      </c>
      <c r="H266">
        <v>42915</v>
      </c>
      <c r="I266">
        <v>2145.75</v>
      </c>
      <c r="J266">
        <v>40769.25</v>
      </c>
      <c r="K266">
        <v>28610</v>
      </c>
      <c r="L266">
        <v>12159.25</v>
      </c>
      <c r="M266">
        <v>41640</v>
      </c>
      <c r="N266">
        <v>1</v>
      </c>
      <c r="O266" t="s">
        <v>21</v>
      </c>
      <c r="P266" t="s">
        <v>15</v>
      </c>
    </row>
    <row r="267" spans="1:16" x14ac:dyDescent="0.35">
      <c r="A267" t="s">
        <v>9</v>
      </c>
      <c r="B267" t="s">
        <v>19</v>
      </c>
      <c r="C267" t="s">
        <v>41</v>
      </c>
      <c r="D267" t="s">
        <v>47</v>
      </c>
      <c r="E267">
        <v>807</v>
      </c>
      <c r="F267">
        <v>120</v>
      </c>
      <c r="G267">
        <v>125</v>
      </c>
      <c r="H267">
        <v>100875</v>
      </c>
      <c r="I267">
        <v>5043.75</v>
      </c>
      <c r="J267">
        <v>95831.25</v>
      </c>
      <c r="K267">
        <v>96840</v>
      </c>
      <c r="L267">
        <v>-1008.75</v>
      </c>
      <c r="M267">
        <v>41671</v>
      </c>
      <c r="N267">
        <v>2</v>
      </c>
      <c r="O267" t="s">
        <v>22</v>
      </c>
      <c r="P267" t="s">
        <v>15</v>
      </c>
    </row>
    <row r="268" spans="1:16" x14ac:dyDescent="0.35">
      <c r="A268" t="s">
        <v>10</v>
      </c>
      <c r="B268" t="s">
        <v>17</v>
      </c>
      <c r="C268" t="s">
        <v>41</v>
      </c>
      <c r="D268" t="s">
        <v>47</v>
      </c>
      <c r="E268">
        <v>602</v>
      </c>
      <c r="F268">
        <v>120</v>
      </c>
      <c r="G268">
        <v>350</v>
      </c>
      <c r="H268">
        <v>210700</v>
      </c>
      <c r="I268">
        <v>10535</v>
      </c>
      <c r="J268">
        <v>200165</v>
      </c>
      <c r="K268">
        <v>156520</v>
      </c>
      <c r="L268">
        <v>43645</v>
      </c>
      <c r="M268">
        <v>41791</v>
      </c>
      <c r="N268">
        <v>6</v>
      </c>
      <c r="O268" t="s">
        <v>26</v>
      </c>
      <c r="P268" t="s">
        <v>15</v>
      </c>
    </row>
    <row r="269" spans="1:16" x14ac:dyDescent="0.35">
      <c r="A269" t="s">
        <v>10</v>
      </c>
      <c r="B269" t="s">
        <v>17</v>
      </c>
      <c r="C269" t="s">
        <v>41</v>
      </c>
      <c r="D269" t="s">
        <v>47</v>
      </c>
      <c r="E269">
        <v>2832</v>
      </c>
      <c r="F269">
        <v>120</v>
      </c>
      <c r="G269">
        <v>20</v>
      </c>
      <c r="H269">
        <v>56640</v>
      </c>
      <c r="I269">
        <v>2832</v>
      </c>
      <c r="J269">
        <v>53808</v>
      </c>
      <c r="K269">
        <v>28320</v>
      </c>
      <c r="L269">
        <v>25488</v>
      </c>
      <c r="M269">
        <v>41852</v>
      </c>
      <c r="N269">
        <v>8</v>
      </c>
      <c r="O269" t="s">
        <v>28</v>
      </c>
      <c r="P269" t="s">
        <v>15</v>
      </c>
    </row>
    <row r="270" spans="1:16" x14ac:dyDescent="0.35">
      <c r="A270" t="s">
        <v>10</v>
      </c>
      <c r="B270" t="s">
        <v>18</v>
      </c>
      <c r="C270" t="s">
        <v>41</v>
      </c>
      <c r="D270" t="s">
        <v>47</v>
      </c>
      <c r="E270">
        <v>1579</v>
      </c>
      <c r="F270">
        <v>120</v>
      </c>
      <c r="G270">
        <v>20</v>
      </c>
      <c r="H270">
        <v>31580</v>
      </c>
      <c r="I270">
        <v>1579</v>
      </c>
      <c r="J270">
        <v>30001</v>
      </c>
      <c r="K270">
        <v>15790</v>
      </c>
      <c r="L270">
        <v>14211</v>
      </c>
      <c r="M270">
        <v>41852</v>
      </c>
      <c r="N270">
        <v>8</v>
      </c>
      <c r="O270" t="s">
        <v>28</v>
      </c>
      <c r="P270" t="s">
        <v>15</v>
      </c>
    </row>
    <row r="271" spans="1:16" x14ac:dyDescent="0.35">
      <c r="A271" t="s">
        <v>9</v>
      </c>
      <c r="B271" t="s">
        <v>17</v>
      </c>
      <c r="C271" t="s">
        <v>41</v>
      </c>
      <c r="D271" t="s">
        <v>47</v>
      </c>
      <c r="E271">
        <v>861</v>
      </c>
      <c r="F271">
        <v>120</v>
      </c>
      <c r="G271">
        <v>125</v>
      </c>
      <c r="H271">
        <v>107625</v>
      </c>
      <c r="I271">
        <v>5381.25</v>
      </c>
      <c r="J271">
        <v>102243.75</v>
      </c>
      <c r="K271">
        <v>103320</v>
      </c>
      <c r="L271">
        <v>-1076.25</v>
      </c>
      <c r="M271">
        <v>41913</v>
      </c>
      <c r="N271">
        <v>10</v>
      </c>
      <c r="O271" t="s">
        <v>30</v>
      </c>
      <c r="P271" t="s">
        <v>15</v>
      </c>
    </row>
    <row r="272" spans="1:16" x14ac:dyDescent="0.35">
      <c r="A272" t="s">
        <v>9</v>
      </c>
      <c r="B272" t="s">
        <v>18</v>
      </c>
      <c r="C272" t="s">
        <v>41</v>
      </c>
      <c r="D272" t="s">
        <v>47</v>
      </c>
      <c r="E272">
        <v>704</v>
      </c>
      <c r="F272">
        <v>120</v>
      </c>
      <c r="G272">
        <v>125</v>
      </c>
      <c r="H272">
        <v>88000</v>
      </c>
      <c r="I272">
        <v>4400</v>
      </c>
      <c r="J272">
        <v>83600</v>
      </c>
      <c r="K272">
        <v>84480</v>
      </c>
      <c r="L272">
        <v>-880</v>
      </c>
      <c r="M272">
        <v>41548</v>
      </c>
      <c r="N272">
        <v>10</v>
      </c>
      <c r="O272" t="s">
        <v>30</v>
      </c>
      <c r="P272" t="s">
        <v>14</v>
      </c>
    </row>
    <row r="273" spans="1:16" x14ac:dyDescent="0.35">
      <c r="A273" t="s">
        <v>10</v>
      </c>
      <c r="B273" t="s">
        <v>18</v>
      </c>
      <c r="C273" t="s">
        <v>41</v>
      </c>
      <c r="D273" t="s">
        <v>47</v>
      </c>
      <c r="E273">
        <v>1033</v>
      </c>
      <c r="F273">
        <v>120</v>
      </c>
      <c r="G273">
        <v>20</v>
      </c>
      <c r="H273">
        <v>20660</v>
      </c>
      <c r="I273">
        <v>1033</v>
      </c>
      <c r="J273">
        <v>19627</v>
      </c>
      <c r="K273">
        <v>10330</v>
      </c>
      <c r="L273">
        <v>9297</v>
      </c>
      <c r="M273">
        <v>41609</v>
      </c>
      <c r="N273">
        <v>12</v>
      </c>
      <c r="O273" t="s">
        <v>32</v>
      </c>
      <c r="P273" t="s">
        <v>14</v>
      </c>
    </row>
    <row r="274" spans="1:16" x14ac:dyDescent="0.35">
      <c r="A274" t="s">
        <v>7</v>
      </c>
      <c r="B274" t="s">
        <v>19</v>
      </c>
      <c r="C274" t="s">
        <v>41</v>
      </c>
      <c r="D274" t="s">
        <v>47</v>
      </c>
      <c r="E274">
        <v>1250</v>
      </c>
      <c r="F274">
        <v>120</v>
      </c>
      <c r="G274">
        <v>300</v>
      </c>
      <c r="H274">
        <v>375000</v>
      </c>
      <c r="I274">
        <v>18750</v>
      </c>
      <c r="J274">
        <v>356250</v>
      </c>
      <c r="K274">
        <v>312500</v>
      </c>
      <c r="L274">
        <v>43750</v>
      </c>
      <c r="M274">
        <v>41974</v>
      </c>
      <c r="N274">
        <v>12</v>
      </c>
      <c r="O274" t="s">
        <v>32</v>
      </c>
      <c r="P274" t="s">
        <v>15</v>
      </c>
    </row>
    <row r="275" spans="1:16" x14ac:dyDescent="0.35">
      <c r="A275" t="s">
        <v>10</v>
      </c>
      <c r="B275" t="s">
        <v>16</v>
      </c>
      <c r="C275" t="s">
        <v>42</v>
      </c>
      <c r="D275" t="s">
        <v>47</v>
      </c>
      <c r="E275">
        <v>1389</v>
      </c>
      <c r="F275">
        <v>250</v>
      </c>
      <c r="G275">
        <v>20</v>
      </c>
      <c r="H275">
        <v>27780</v>
      </c>
      <c r="I275">
        <v>1389</v>
      </c>
      <c r="J275">
        <v>26391</v>
      </c>
      <c r="K275">
        <v>13890</v>
      </c>
      <c r="L275">
        <v>12501</v>
      </c>
      <c r="M275">
        <v>41548</v>
      </c>
      <c r="N275">
        <v>10</v>
      </c>
      <c r="O275" t="s">
        <v>30</v>
      </c>
      <c r="P275" t="s">
        <v>14</v>
      </c>
    </row>
    <row r="276" spans="1:16" x14ac:dyDescent="0.35">
      <c r="A276" t="s">
        <v>10</v>
      </c>
      <c r="B276" t="s">
        <v>17</v>
      </c>
      <c r="C276" t="s">
        <v>42</v>
      </c>
      <c r="D276" t="s">
        <v>47</v>
      </c>
      <c r="E276">
        <v>1265</v>
      </c>
      <c r="F276">
        <v>250</v>
      </c>
      <c r="G276">
        <v>20</v>
      </c>
      <c r="H276">
        <v>25300</v>
      </c>
      <c r="I276">
        <v>1265</v>
      </c>
      <c r="J276">
        <v>24035</v>
      </c>
      <c r="K276">
        <v>12650</v>
      </c>
      <c r="L276">
        <v>11385</v>
      </c>
      <c r="M276">
        <v>41579</v>
      </c>
      <c r="N276">
        <v>11</v>
      </c>
      <c r="O276" t="s">
        <v>31</v>
      </c>
      <c r="P276" t="s">
        <v>14</v>
      </c>
    </row>
    <row r="277" spans="1:16" x14ac:dyDescent="0.35">
      <c r="A277" t="s">
        <v>10</v>
      </c>
      <c r="B277" t="s">
        <v>19</v>
      </c>
      <c r="C277" t="s">
        <v>42</v>
      </c>
      <c r="D277" t="s">
        <v>47</v>
      </c>
      <c r="E277">
        <v>2297</v>
      </c>
      <c r="F277">
        <v>250</v>
      </c>
      <c r="G277">
        <v>20</v>
      </c>
      <c r="H277">
        <v>45940</v>
      </c>
      <c r="I277">
        <v>2297</v>
      </c>
      <c r="J277">
        <v>43643</v>
      </c>
      <c r="K277">
        <v>22970</v>
      </c>
      <c r="L277">
        <v>20673</v>
      </c>
      <c r="M277">
        <v>41579</v>
      </c>
      <c r="N277">
        <v>11</v>
      </c>
      <c r="O277" t="s">
        <v>31</v>
      </c>
      <c r="P277" t="s">
        <v>14</v>
      </c>
    </row>
    <row r="278" spans="1:16" x14ac:dyDescent="0.35">
      <c r="A278" t="s">
        <v>10</v>
      </c>
      <c r="B278" t="s">
        <v>17</v>
      </c>
      <c r="C278" t="s">
        <v>42</v>
      </c>
      <c r="D278" t="s">
        <v>47</v>
      </c>
      <c r="E278">
        <v>2663</v>
      </c>
      <c r="F278">
        <v>250</v>
      </c>
      <c r="G278">
        <v>20</v>
      </c>
      <c r="H278">
        <v>53260</v>
      </c>
      <c r="I278">
        <v>2663</v>
      </c>
      <c r="J278">
        <v>50597</v>
      </c>
      <c r="K278">
        <v>26630</v>
      </c>
      <c r="L278">
        <v>23967</v>
      </c>
      <c r="M278">
        <v>41974</v>
      </c>
      <c r="N278">
        <v>12</v>
      </c>
      <c r="O278" t="s">
        <v>32</v>
      </c>
      <c r="P278" t="s">
        <v>15</v>
      </c>
    </row>
    <row r="279" spans="1:16" x14ac:dyDescent="0.35">
      <c r="A279" t="s">
        <v>10</v>
      </c>
      <c r="B279" t="s">
        <v>17</v>
      </c>
      <c r="C279" t="s">
        <v>42</v>
      </c>
      <c r="D279" t="s">
        <v>47</v>
      </c>
      <c r="E279">
        <v>570</v>
      </c>
      <c r="F279">
        <v>250</v>
      </c>
      <c r="G279">
        <v>7</v>
      </c>
      <c r="H279">
        <v>3990</v>
      </c>
      <c r="I279">
        <v>199.5</v>
      </c>
      <c r="J279">
        <v>3790.5</v>
      </c>
      <c r="K279">
        <v>2850</v>
      </c>
      <c r="L279">
        <v>940.5</v>
      </c>
      <c r="M279">
        <v>41974</v>
      </c>
      <c r="N279">
        <v>12</v>
      </c>
      <c r="O279" t="s">
        <v>32</v>
      </c>
      <c r="P279" t="s">
        <v>15</v>
      </c>
    </row>
    <row r="280" spans="1:16" x14ac:dyDescent="0.35">
      <c r="A280" t="s">
        <v>10</v>
      </c>
      <c r="B280" t="s">
        <v>18</v>
      </c>
      <c r="C280" t="s">
        <v>42</v>
      </c>
      <c r="D280" t="s">
        <v>47</v>
      </c>
      <c r="E280">
        <v>2487</v>
      </c>
      <c r="F280">
        <v>250</v>
      </c>
      <c r="G280">
        <v>7</v>
      </c>
      <c r="H280">
        <v>17409</v>
      </c>
      <c r="I280">
        <v>870.45</v>
      </c>
      <c r="J280">
        <v>16538.55</v>
      </c>
      <c r="K280">
        <v>12435</v>
      </c>
      <c r="L280">
        <v>4103.5499999999993</v>
      </c>
      <c r="M280">
        <v>41974</v>
      </c>
      <c r="N280">
        <v>12</v>
      </c>
      <c r="O280" t="s">
        <v>32</v>
      </c>
      <c r="P280" t="s">
        <v>15</v>
      </c>
    </row>
    <row r="281" spans="1:16" x14ac:dyDescent="0.35">
      <c r="A281" t="s">
        <v>10</v>
      </c>
      <c r="B281" t="s">
        <v>19</v>
      </c>
      <c r="C281" t="s">
        <v>43</v>
      </c>
      <c r="D281" t="s">
        <v>47</v>
      </c>
      <c r="E281">
        <v>1350</v>
      </c>
      <c r="F281">
        <v>260</v>
      </c>
      <c r="G281">
        <v>350</v>
      </c>
      <c r="H281">
        <v>472500</v>
      </c>
      <c r="I281">
        <v>23625</v>
      </c>
      <c r="J281">
        <v>448875</v>
      </c>
      <c r="K281">
        <v>351000</v>
      </c>
      <c r="L281">
        <v>97875</v>
      </c>
      <c r="M281">
        <v>41671</v>
      </c>
      <c r="N281">
        <v>2</v>
      </c>
      <c r="O281" t="s">
        <v>22</v>
      </c>
      <c r="P281" t="s">
        <v>15</v>
      </c>
    </row>
    <row r="282" spans="1:16" x14ac:dyDescent="0.35">
      <c r="A282" t="s">
        <v>10</v>
      </c>
      <c r="B282" t="s">
        <v>16</v>
      </c>
      <c r="C282" t="s">
        <v>43</v>
      </c>
      <c r="D282" t="s">
        <v>47</v>
      </c>
      <c r="E282">
        <v>552</v>
      </c>
      <c r="F282">
        <v>260</v>
      </c>
      <c r="G282">
        <v>350</v>
      </c>
      <c r="H282">
        <v>193200</v>
      </c>
      <c r="I282">
        <v>9660</v>
      </c>
      <c r="J282">
        <v>183540</v>
      </c>
      <c r="K282">
        <v>143520</v>
      </c>
      <c r="L282">
        <v>40020</v>
      </c>
      <c r="M282">
        <v>41852</v>
      </c>
      <c r="N282">
        <v>8</v>
      </c>
      <c r="O282" t="s">
        <v>28</v>
      </c>
      <c r="P282" t="s">
        <v>15</v>
      </c>
    </row>
    <row r="283" spans="1:16" x14ac:dyDescent="0.35">
      <c r="A283" t="s">
        <v>10</v>
      </c>
      <c r="B283" t="s">
        <v>16</v>
      </c>
      <c r="C283" t="s">
        <v>43</v>
      </c>
      <c r="D283" t="s">
        <v>47</v>
      </c>
      <c r="E283">
        <v>1228</v>
      </c>
      <c r="F283">
        <v>260</v>
      </c>
      <c r="G283">
        <v>350</v>
      </c>
      <c r="H283">
        <v>429800</v>
      </c>
      <c r="I283">
        <v>21490</v>
      </c>
      <c r="J283">
        <v>408310</v>
      </c>
      <c r="K283">
        <v>319280</v>
      </c>
      <c r="L283">
        <v>89030</v>
      </c>
      <c r="M283">
        <v>41548</v>
      </c>
      <c r="N283">
        <v>10</v>
      </c>
      <c r="O283" t="s">
        <v>30</v>
      </c>
      <c r="P283" t="s">
        <v>14</v>
      </c>
    </row>
    <row r="284" spans="1:16" x14ac:dyDescent="0.35">
      <c r="A284" t="s">
        <v>7</v>
      </c>
      <c r="B284" t="s">
        <v>19</v>
      </c>
      <c r="C284" t="s">
        <v>43</v>
      </c>
      <c r="D284" t="s">
        <v>47</v>
      </c>
      <c r="E284">
        <v>1250</v>
      </c>
      <c r="F284">
        <v>260</v>
      </c>
      <c r="G284">
        <v>300</v>
      </c>
      <c r="H284">
        <v>375000</v>
      </c>
      <c r="I284">
        <v>18750</v>
      </c>
      <c r="J284">
        <v>356250</v>
      </c>
      <c r="K284">
        <v>312500</v>
      </c>
      <c r="L284">
        <v>43750</v>
      </c>
      <c r="M284">
        <v>41974</v>
      </c>
      <c r="N284">
        <v>12</v>
      </c>
      <c r="O284" t="s">
        <v>32</v>
      </c>
      <c r="P284" t="s">
        <v>15</v>
      </c>
    </row>
    <row r="285" spans="1:16" x14ac:dyDescent="0.35">
      <c r="A285" t="s">
        <v>8</v>
      </c>
      <c r="B285" t="s">
        <v>18</v>
      </c>
      <c r="C285" t="s">
        <v>40</v>
      </c>
      <c r="D285" t="s">
        <v>47</v>
      </c>
      <c r="E285">
        <v>3801</v>
      </c>
      <c r="F285">
        <v>10</v>
      </c>
      <c r="G285">
        <v>15</v>
      </c>
      <c r="H285">
        <v>57015</v>
      </c>
      <c r="I285">
        <v>3420.8999999999996</v>
      </c>
      <c r="J285">
        <v>53594.100000000006</v>
      </c>
      <c r="K285">
        <v>38010</v>
      </c>
      <c r="L285">
        <v>15584.100000000002</v>
      </c>
      <c r="M285">
        <v>41730</v>
      </c>
      <c r="N285">
        <v>4</v>
      </c>
      <c r="O285" t="s">
        <v>24</v>
      </c>
      <c r="P285" t="s">
        <v>15</v>
      </c>
    </row>
    <row r="286" spans="1:16" x14ac:dyDescent="0.35">
      <c r="A286" t="s">
        <v>10</v>
      </c>
      <c r="B286" t="s">
        <v>17</v>
      </c>
      <c r="C286" t="s">
        <v>38</v>
      </c>
      <c r="D286" t="s">
        <v>47</v>
      </c>
      <c r="E286">
        <v>1117.5</v>
      </c>
      <c r="F286">
        <v>3</v>
      </c>
      <c r="G286">
        <v>20</v>
      </c>
      <c r="H286">
        <v>22350</v>
      </c>
      <c r="I286">
        <v>1341</v>
      </c>
      <c r="J286">
        <v>21009</v>
      </c>
      <c r="K286">
        <v>11175</v>
      </c>
      <c r="L286">
        <v>9834</v>
      </c>
      <c r="M286">
        <v>41640</v>
      </c>
      <c r="N286">
        <v>1</v>
      </c>
      <c r="O286" t="s">
        <v>21</v>
      </c>
      <c r="P286" t="s">
        <v>15</v>
      </c>
    </row>
    <row r="287" spans="1:16" x14ac:dyDescent="0.35">
      <c r="A287" t="s">
        <v>8</v>
      </c>
      <c r="B287" t="s">
        <v>16</v>
      </c>
      <c r="C287" t="s">
        <v>38</v>
      </c>
      <c r="D287" t="s">
        <v>47</v>
      </c>
      <c r="E287">
        <v>2844</v>
      </c>
      <c r="F287">
        <v>3</v>
      </c>
      <c r="G287">
        <v>15</v>
      </c>
      <c r="H287">
        <v>42660</v>
      </c>
      <c r="I287">
        <v>2559.6</v>
      </c>
      <c r="J287">
        <v>40100.400000000001</v>
      </c>
      <c r="K287">
        <v>28440</v>
      </c>
      <c r="L287">
        <v>11660.400000000001</v>
      </c>
      <c r="M287">
        <v>41791</v>
      </c>
      <c r="N287">
        <v>6</v>
      </c>
      <c r="O287" t="s">
        <v>26</v>
      </c>
      <c r="P287" t="s">
        <v>15</v>
      </c>
    </row>
    <row r="288" spans="1:16" x14ac:dyDescent="0.35">
      <c r="A288" t="s">
        <v>11</v>
      </c>
      <c r="B288" t="s">
        <v>20</v>
      </c>
      <c r="C288" t="s">
        <v>38</v>
      </c>
      <c r="D288" t="s">
        <v>47</v>
      </c>
      <c r="E288">
        <v>562</v>
      </c>
      <c r="F288">
        <v>3</v>
      </c>
      <c r="G288">
        <v>12</v>
      </c>
      <c r="H288">
        <v>6744</v>
      </c>
      <c r="I288">
        <v>404.64</v>
      </c>
      <c r="J288">
        <v>6339.36</v>
      </c>
      <c r="K288">
        <v>1686</v>
      </c>
      <c r="L288">
        <v>4653.3599999999997</v>
      </c>
      <c r="M288">
        <v>41883</v>
      </c>
      <c r="N288">
        <v>9</v>
      </c>
      <c r="O288" t="s">
        <v>29</v>
      </c>
      <c r="P288" t="s">
        <v>15</v>
      </c>
    </row>
    <row r="289" spans="1:16" x14ac:dyDescent="0.35">
      <c r="A289" t="s">
        <v>11</v>
      </c>
      <c r="B289" t="s">
        <v>16</v>
      </c>
      <c r="C289" t="s">
        <v>38</v>
      </c>
      <c r="D289" t="s">
        <v>47</v>
      </c>
      <c r="E289">
        <v>2299</v>
      </c>
      <c r="F289">
        <v>3</v>
      </c>
      <c r="G289">
        <v>12</v>
      </c>
      <c r="H289">
        <v>27588</v>
      </c>
      <c r="I289">
        <v>1655.28</v>
      </c>
      <c r="J289">
        <v>25932.720000000001</v>
      </c>
      <c r="K289">
        <v>6897</v>
      </c>
      <c r="L289">
        <v>19035.72</v>
      </c>
      <c r="M289">
        <v>41548</v>
      </c>
      <c r="N289">
        <v>10</v>
      </c>
      <c r="O289" t="s">
        <v>30</v>
      </c>
      <c r="P289" t="s">
        <v>14</v>
      </c>
    </row>
    <row r="290" spans="1:16" x14ac:dyDescent="0.35">
      <c r="A290" t="s">
        <v>8</v>
      </c>
      <c r="B290" t="s">
        <v>17</v>
      </c>
      <c r="C290" t="s">
        <v>38</v>
      </c>
      <c r="D290" t="s">
        <v>47</v>
      </c>
      <c r="E290">
        <v>2030</v>
      </c>
      <c r="F290">
        <v>3</v>
      </c>
      <c r="G290">
        <v>15</v>
      </c>
      <c r="H290">
        <v>30450</v>
      </c>
      <c r="I290">
        <v>1827</v>
      </c>
      <c r="J290">
        <v>28623</v>
      </c>
      <c r="K290">
        <v>20300</v>
      </c>
      <c r="L290">
        <v>8323</v>
      </c>
      <c r="M290">
        <v>41944</v>
      </c>
      <c r="N290">
        <v>11</v>
      </c>
      <c r="O290" t="s">
        <v>31</v>
      </c>
      <c r="P290" t="s">
        <v>15</v>
      </c>
    </row>
    <row r="291" spans="1:16" x14ac:dyDescent="0.35">
      <c r="A291" t="s">
        <v>10</v>
      </c>
      <c r="B291" t="s">
        <v>17</v>
      </c>
      <c r="C291" t="s">
        <v>38</v>
      </c>
      <c r="D291" t="s">
        <v>47</v>
      </c>
      <c r="E291">
        <v>263</v>
      </c>
      <c r="F291">
        <v>3</v>
      </c>
      <c r="G291">
        <v>7</v>
      </c>
      <c r="H291">
        <v>1841</v>
      </c>
      <c r="I291">
        <v>110.46</v>
      </c>
      <c r="J291">
        <v>1730.54</v>
      </c>
      <c r="K291">
        <v>1315</v>
      </c>
      <c r="L291">
        <v>415.53999999999996</v>
      </c>
      <c r="M291">
        <v>41579</v>
      </c>
      <c r="N291">
        <v>11</v>
      </c>
      <c r="O291" t="s">
        <v>31</v>
      </c>
      <c r="P291" t="s">
        <v>14</v>
      </c>
    </row>
    <row r="292" spans="1:16" x14ac:dyDescent="0.35">
      <c r="A292" t="s">
        <v>9</v>
      </c>
      <c r="B292" t="s">
        <v>19</v>
      </c>
      <c r="C292" t="s">
        <v>38</v>
      </c>
      <c r="D292" t="s">
        <v>47</v>
      </c>
      <c r="E292">
        <v>887</v>
      </c>
      <c r="F292">
        <v>3</v>
      </c>
      <c r="G292">
        <v>125</v>
      </c>
      <c r="H292">
        <v>110875</v>
      </c>
      <c r="I292">
        <v>6652.5</v>
      </c>
      <c r="J292">
        <v>104222.5</v>
      </c>
      <c r="K292">
        <v>106440</v>
      </c>
      <c r="L292">
        <v>-2217.5</v>
      </c>
      <c r="M292">
        <v>41609</v>
      </c>
      <c r="N292">
        <v>12</v>
      </c>
      <c r="O292" t="s">
        <v>32</v>
      </c>
      <c r="P292" t="s">
        <v>14</v>
      </c>
    </row>
    <row r="293" spans="1:16" x14ac:dyDescent="0.35">
      <c r="A293" t="s">
        <v>10</v>
      </c>
      <c r="B293" t="s">
        <v>20</v>
      </c>
      <c r="C293" t="s">
        <v>39</v>
      </c>
      <c r="D293" t="s">
        <v>47</v>
      </c>
      <c r="E293">
        <v>980</v>
      </c>
      <c r="F293">
        <v>5</v>
      </c>
      <c r="G293">
        <v>350</v>
      </c>
      <c r="H293">
        <v>343000</v>
      </c>
      <c r="I293">
        <v>20580</v>
      </c>
      <c r="J293">
        <v>322420</v>
      </c>
      <c r="K293">
        <v>254800</v>
      </c>
      <c r="L293">
        <v>67620</v>
      </c>
      <c r="M293">
        <v>41730</v>
      </c>
      <c r="N293">
        <v>4</v>
      </c>
      <c r="O293" t="s">
        <v>24</v>
      </c>
      <c r="P293" t="s">
        <v>15</v>
      </c>
    </row>
    <row r="294" spans="1:16" x14ac:dyDescent="0.35">
      <c r="A294" t="s">
        <v>10</v>
      </c>
      <c r="B294" t="s">
        <v>19</v>
      </c>
      <c r="C294" t="s">
        <v>39</v>
      </c>
      <c r="D294" t="s">
        <v>47</v>
      </c>
      <c r="E294">
        <v>1460</v>
      </c>
      <c r="F294">
        <v>5</v>
      </c>
      <c r="G294">
        <v>350</v>
      </c>
      <c r="H294">
        <v>511000</v>
      </c>
      <c r="I294">
        <v>30660</v>
      </c>
      <c r="J294">
        <v>480340</v>
      </c>
      <c r="K294">
        <v>379600</v>
      </c>
      <c r="L294">
        <v>100740</v>
      </c>
      <c r="M294">
        <v>41760</v>
      </c>
      <c r="N294">
        <v>5</v>
      </c>
      <c r="O294" t="s">
        <v>25</v>
      </c>
      <c r="P294" t="s">
        <v>15</v>
      </c>
    </row>
    <row r="295" spans="1:16" x14ac:dyDescent="0.35">
      <c r="A295" t="s">
        <v>10</v>
      </c>
      <c r="B295" t="s">
        <v>18</v>
      </c>
      <c r="C295" t="s">
        <v>39</v>
      </c>
      <c r="D295" t="s">
        <v>47</v>
      </c>
      <c r="E295">
        <v>1403</v>
      </c>
      <c r="F295">
        <v>5</v>
      </c>
      <c r="G295">
        <v>7</v>
      </c>
      <c r="H295">
        <v>9821</v>
      </c>
      <c r="I295">
        <v>589.26</v>
      </c>
      <c r="J295">
        <v>9231.74</v>
      </c>
      <c r="K295">
        <v>7015</v>
      </c>
      <c r="L295">
        <v>2216.7399999999998</v>
      </c>
      <c r="M295">
        <v>41548</v>
      </c>
      <c r="N295">
        <v>10</v>
      </c>
      <c r="O295" t="s">
        <v>30</v>
      </c>
      <c r="P295" t="s">
        <v>14</v>
      </c>
    </row>
    <row r="296" spans="1:16" x14ac:dyDescent="0.35">
      <c r="A296" t="s">
        <v>11</v>
      </c>
      <c r="B296" t="s">
        <v>17</v>
      </c>
      <c r="C296" t="s">
        <v>39</v>
      </c>
      <c r="D296" t="s">
        <v>47</v>
      </c>
      <c r="E296">
        <v>2723</v>
      </c>
      <c r="F296">
        <v>5</v>
      </c>
      <c r="G296">
        <v>12</v>
      </c>
      <c r="H296">
        <v>32676</v>
      </c>
      <c r="I296">
        <v>1960.56</v>
      </c>
      <c r="J296">
        <v>30715.439999999999</v>
      </c>
      <c r="K296">
        <v>8169</v>
      </c>
      <c r="L296">
        <v>22546.44</v>
      </c>
      <c r="M296">
        <v>41944</v>
      </c>
      <c r="N296">
        <v>11</v>
      </c>
      <c r="O296" t="s">
        <v>31</v>
      </c>
      <c r="P296" t="s">
        <v>15</v>
      </c>
    </row>
    <row r="297" spans="1:16" x14ac:dyDescent="0.35">
      <c r="A297" t="s">
        <v>10</v>
      </c>
      <c r="B297" t="s">
        <v>18</v>
      </c>
      <c r="C297" t="s">
        <v>40</v>
      </c>
      <c r="D297" t="s">
        <v>47</v>
      </c>
      <c r="E297">
        <v>1496</v>
      </c>
      <c r="F297">
        <v>10</v>
      </c>
      <c r="G297">
        <v>350</v>
      </c>
      <c r="H297">
        <v>523600</v>
      </c>
      <c r="I297">
        <v>31416</v>
      </c>
      <c r="J297">
        <v>492184</v>
      </c>
      <c r="K297">
        <v>388960</v>
      </c>
      <c r="L297">
        <v>103224</v>
      </c>
      <c r="M297">
        <v>41791</v>
      </c>
      <c r="N297">
        <v>6</v>
      </c>
      <c r="O297" t="s">
        <v>26</v>
      </c>
      <c r="P297" t="s">
        <v>15</v>
      </c>
    </row>
    <row r="298" spans="1:16" x14ac:dyDescent="0.35">
      <c r="A298" t="s">
        <v>11</v>
      </c>
      <c r="B298" t="s">
        <v>16</v>
      </c>
      <c r="C298" t="s">
        <v>40</v>
      </c>
      <c r="D298" t="s">
        <v>47</v>
      </c>
      <c r="E298">
        <v>2299</v>
      </c>
      <c r="F298">
        <v>10</v>
      </c>
      <c r="G298">
        <v>12</v>
      </c>
      <c r="H298">
        <v>27588</v>
      </c>
      <c r="I298">
        <v>1655.28</v>
      </c>
      <c r="J298">
        <v>25932.720000000001</v>
      </c>
      <c r="K298">
        <v>6897</v>
      </c>
      <c r="L298">
        <v>19035.72</v>
      </c>
      <c r="M298">
        <v>41548</v>
      </c>
      <c r="N298">
        <v>10</v>
      </c>
      <c r="O298" t="s">
        <v>30</v>
      </c>
      <c r="P298" t="s">
        <v>14</v>
      </c>
    </row>
    <row r="299" spans="1:16" x14ac:dyDescent="0.35">
      <c r="A299" t="s">
        <v>10</v>
      </c>
      <c r="B299" t="s">
        <v>17</v>
      </c>
      <c r="C299" t="s">
        <v>40</v>
      </c>
      <c r="D299" t="s">
        <v>47</v>
      </c>
      <c r="E299">
        <v>727</v>
      </c>
      <c r="F299">
        <v>10</v>
      </c>
      <c r="G299">
        <v>350</v>
      </c>
      <c r="H299">
        <v>254450</v>
      </c>
      <c r="I299">
        <v>15267</v>
      </c>
      <c r="J299">
        <v>239183</v>
      </c>
      <c r="K299">
        <v>189020</v>
      </c>
      <c r="L299">
        <v>50163</v>
      </c>
      <c r="M299">
        <v>41548</v>
      </c>
      <c r="N299">
        <v>10</v>
      </c>
      <c r="O299" t="s">
        <v>30</v>
      </c>
      <c r="P299" t="s">
        <v>14</v>
      </c>
    </row>
    <row r="300" spans="1:16" x14ac:dyDescent="0.35">
      <c r="A300" t="s">
        <v>9</v>
      </c>
      <c r="B300" t="s">
        <v>16</v>
      </c>
      <c r="C300" t="s">
        <v>41</v>
      </c>
      <c r="D300" t="s">
        <v>47</v>
      </c>
      <c r="E300">
        <v>952</v>
      </c>
      <c r="F300">
        <v>120</v>
      </c>
      <c r="G300">
        <v>125</v>
      </c>
      <c r="H300">
        <v>119000</v>
      </c>
      <c r="I300">
        <v>7140</v>
      </c>
      <c r="J300">
        <v>111860</v>
      </c>
      <c r="K300">
        <v>114240</v>
      </c>
      <c r="L300">
        <v>-2380</v>
      </c>
      <c r="M300">
        <v>41671</v>
      </c>
      <c r="N300">
        <v>2</v>
      </c>
      <c r="O300" t="s">
        <v>22</v>
      </c>
      <c r="P300" t="s">
        <v>15</v>
      </c>
    </row>
    <row r="301" spans="1:16" x14ac:dyDescent="0.35">
      <c r="A301" t="s">
        <v>9</v>
      </c>
      <c r="B301" t="s">
        <v>17</v>
      </c>
      <c r="C301" t="s">
        <v>41</v>
      </c>
      <c r="D301" t="s">
        <v>47</v>
      </c>
      <c r="E301">
        <v>2755</v>
      </c>
      <c r="F301">
        <v>120</v>
      </c>
      <c r="G301">
        <v>125</v>
      </c>
      <c r="H301">
        <v>344375</v>
      </c>
      <c r="I301">
        <v>20662.5</v>
      </c>
      <c r="J301">
        <v>323712.5</v>
      </c>
      <c r="K301">
        <v>330600</v>
      </c>
      <c r="L301">
        <v>-6887.5</v>
      </c>
      <c r="M301">
        <v>41671</v>
      </c>
      <c r="N301">
        <v>2</v>
      </c>
      <c r="O301" t="s">
        <v>22</v>
      </c>
      <c r="P301" t="s">
        <v>15</v>
      </c>
    </row>
    <row r="302" spans="1:16" x14ac:dyDescent="0.35">
      <c r="A302" t="s">
        <v>8</v>
      </c>
      <c r="B302" t="s">
        <v>19</v>
      </c>
      <c r="C302" t="s">
        <v>41</v>
      </c>
      <c r="D302" t="s">
        <v>47</v>
      </c>
      <c r="E302">
        <v>1530</v>
      </c>
      <c r="F302">
        <v>120</v>
      </c>
      <c r="G302">
        <v>15</v>
      </c>
      <c r="H302">
        <v>22950</v>
      </c>
      <c r="I302">
        <v>1377</v>
      </c>
      <c r="J302">
        <v>21573</v>
      </c>
      <c r="K302">
        <v>15300</v>
      </c>
      <c r="L302">
        <v>6273</v>
      </c>
      <c r="M302">
        <v>41760</v>
      </c>
      <c r="N302">
        <v>5</v>
      </c>
      <c r="O302" t="s">
        <v>25</v>
      </c>
      <c r="P302" t="s">
        <v>15</v>
      </c>
    </row>
    <row r="303" spans="1:16" x14ac:dyDescent="0.35">
      <c r="A303" t="s">
        <v>10</v>
      </c>
      <c r="B303" t="s">
        <v>18</v>
      </c>
      <c r="C303" t="s">
        <v>41</v>
      </c>
      <c r="D303" t="s">
        <v>47</v>
      </c>
      <c r="E303">
        <v>1496</v>
      </c>
      <c r="F303">
        <v>120</v>
      </c>
      <c r="G303">
        <v>350</v>
      </c>
      <c r="H303">
        <v>523600</v>
      </c>
      <c r="I303">
        <v>31416</v>
      </c>
      <c r="J303">
        <v>492184</v>
      </c>
      <c r="K303">
        <v>388960</v>
      </c>
      <c r="L303">
        <v>103224</v>
      </c>
      <c r="M303">
        <v>41791</v>
      </c>
      <c r="N303">
        <v>6</v>
      </c>
      <c r="O303" t="s">
        <v>26</v>
      </c>
      <c r="P303" t="s">
        <v>15</v>
      </c>
    </row>
    <row r="304" spans="1:16" x14ac:dyDescent="0.35">
      <c r="A304" t="s">
        <v>10</v>
      </c>
      <c r="B304" t="s">
        <v>20</v>
      </c>
      <c r="C304" t="s">
        <v>41</v>
      </c>
      <c r="D304" t="s">
        <v>47</v>
      </c>
      <c r="E304">
        <v>1498</v>
      </c>
      <c r="F304">
        <v>120</v>
      </c>
      <c r="G304">
        <v>7</v>
      </c>
      <c r="H304">
        <v>10486</v>
      </c>
      <c r="I304">
        <v>629.16</v>
      </c>
      <c r="J304">
        <v>9856.84</v>
      </c>
      <c r="K304">
        <v>7490</v>
      </c>
      <c r="L304">
        <v>2366.84</v>
      </c>
      <c r="M304">
        <v>41791</v>
      </c>
      <c r="N304">
        <v>6</v>
      </c>
      <c r="O304" t="s">
        <v>26</v>
      </c>
      <c r="P304" t="s">
        <v>15</v>
      </c>
    </row>
    <row r="305" spans="1:16" x14ac:dyDescent="0.35">
      <c r="A305" t="s">
        <v>7</v>
      </c>
      <c r="B305" t="s">
        <v>18</v>
      </c>
      <c r="C305" t="s">
        <v>41</v>
      </c>
      <c r="D305" t="s">
        <v>47</v>
      </c>
      <c r="E305">
        <v>1221</v>
      </c>
      <c r="F305">
        <v>120</v>
      </c>
      <c r="G305">
        <v>300</v>
      </c>
      <c r="H305">
        <v>366300</v>
      </c>
      <c r="I305">
        <v>21978</v>
      </c>
      <c r="J305">
        <v>344322</v>
      </c>
      <c r="K305">
        <v>305250</v>
      </c>
      <c r="L305">
        <v>39072</v>
      </c>
      <c r="M305">
        <v>41548</v>
      </c>
      <c r="N305">
        <v>10</v>
      </c>
      <c r="O305" t="s">
        <v>30</v>
      </c>
      <c r="P305" t="s">
        <v>14</v>
      </c>
    </row>
    <row r="306" spans="1:16" x14ac:dyDescent="0.35">
      <c r="A306" t="s">
        <v>10</v>
      </c>
      <c r="B306" t="s">
        <v>18</v>
      </c>
      <c r="C306" t="s">
        <v>41</v>
      </c>
      <c r="D306" t="s">
        <v>47</v>
      </c>
      <c r="E306">
        <v>2076</v>
      </c>
      <c r="F306">
        <v>120</v>
      </c>
      <c r="G306">
        <v>350</v>
      </c>
      <c r="H306">
        <v>726600</v>
      </c>
      <c r="I306">
        <v>43596</v>
      </c>
      <c r="J306">
        <v>683004</v>
      </c>
      <c r="K306">
        <v>539760</v>
      </c>
      <c r="L306">
        <v>143244</v>
      </c>
      <c r="M306">
        <v>41548</v>
      </c>
      <c r="N306">
        <v>10</v>
      </c>
      <c r="O306" t="s">
        <v>30</v>
      </c>
      <c r="P306" t="s">
        <v>14</v>
      </c>
    </row>
    <row r="307" spans="1:16" x14ac:dyDescent="0.35">
      <c r="A307" t="s">
        <v>8</v>
      </c>
      <c r="B307" t="s">
        <v>16</v>
      </c>
      <c r="C307" t="s">
        <v>42</v>
      </c>
      <c r="D307" t="s">
        <v>47</v>
      </c>
      <c r="E307">
        <v>2844</v>
      </c>
      <c r="F307">
        <v>250</v>
      </c>
      <c r="G307">
        <v>15</v>
      </c>
      <c r="H307">
        <v>42660</v>
      </c>
      <c r="I307">
        <v>2559.6</v>
      </c>
      <c r="J307">
        <v>40100.400000000001</v>
      </c>
      <c r="K307">
        <v>28440</v>
      </c>
      <c r="L307">
        <v>11660.400000000001</v>
      </c>
      <c r="M307">
        <v>41791</v>
      </c>
      <c r="N307">
        <v>6</v>
      </c>
      <c r="O307" t="s">
        <v>26</v>
      </c>
      <c r="P307" t="s">
        <v>15</v>
      </c>
    </row>
    <row r="308" spans="1:16" x14ac:dyDescent="0.35">
      <c r="A308" t="s">
        <v>10</v>
      </c>
      <c r="B308" t="s">
        <v>20</v>
      </c>
      <c r="C308" t="s">
        <v>42</v>
      </c>
      <c r="D308" t="s">
        <v>47</v>
      </c>
      <c r="E308">
        <v>1498</v>
      </c>
      <c r="F308">
        <v>250</v>
      </c>
      <c r="G308">
        <v>7</v>
      </c>
      <c r="H308">
        <v>10486</v>
      </c>
      <c r="I308">
        <v>629.16</v>
      </c>
      <c r="J308">
        <v>9856.84</v>
      </c>
      <c r="K308">
        <v>7490</v>
      </c>
      <c r="L308">
        <v>2366.84</v>
      </c>
      <c r="M308">
        <v>41791</v>
      </c>
      <c r="N308">
        <v>6</v>
      </c>
      <c r="O308" t="s">
        <v>26</v>
      </c>
      <c r="P308" t="s">
        <v>15</v>
      </c>
    </row>
    <row r="309" spans="1:16" x14ac:dyDescent="0.35">
      <c r="A309" t="s">
        <v>7</v>
      </c>
      <c r="B309" t="s">
        <v>18</v>
      </c>
      <c r="C309" t="s">
        <v>42</v>
      </c>
      <c r="D309" t="s">
        <v>47</v>
      </c>
      <c r="E309">
        <v>1221</v>
      </c>
      <c r="F309">
        <v>250</v>
      </c>
      <c r="G309">
        <v>300</v>
      </c>
      <c r="H309">
        <v>366300</v>
      </c>
      <c r="I309">
        <v>21978</v>
      </c>
      <c r="J309">
        <v>344322</v>
      </c>
      <c r="K309">
        <v>305250</v>
      </c>
      <c r="L309">
        <v>39072</v>
      </c>
      <c r="M309">
        <v>41548</v>
      </c>
      <c r="N309">
        <v>10</v>
      </c>
      <c r="O309" t="s">
        <v>30</v>
      </c>
      <c r="P309" t="s">
        <v>14</v>
      </c>
    </row>
    <row r="310" spans="1:16" x14ac:dyDescent="0.35">
      <c r="A310" t="s">
        <v>10</v>
      </c>
      <c r="B310" t="s">
        <v>20</v>
      </c>
      <c r="C310" t="s">
        <v>42</v>
      </c>
      <c r="D310" t="s">
        <v>47</v>
      </c>
      <c r="E310">
        <v>1123</v>
      </c>
      <c r="F310">
        <v>250</v>
      </c>
      <c r="G310">
        <v>20</v>
      </c>
      <c r="H310">
        <v>22460</v>
      </c>
      <c r="I310">
        <v>1347.6</v>
      </c>
      <c r="J310">
        <v>21112.400000000001</v>
      </c>
      <c r="K310">
        <v>11230</v>
      </c>
      <c r="L310">
        <v>9882.4000000000015</v>
      </c>
      <c r="M310">
        <v>41579</v>
      </c>
      <c r="N310">
        <v>11</v>
      </c>
      <c r="O310" t="s">
        <v>31</v>
      </c>
      <c r="P310" t="s">
        <v>14</v>
      </c>
    </row>
    <row r="311" spans="1:16" x14ac:dyDescent="0.35">
      <c r="A311" t="s">
        <v>7</v>
      </c>
      <c r="B311" t="s">
        <v>16</v>
      </c>
      <c r="C311" t="s">
        <v>42</v>
      </c>
      <c r="D311" t="s">
        <v>47</v>
      </c>
      <c r="E311">
        <v>2436</v>
      </c>
      <c r="F311">
        <v>250</v>
      </c>
      <c r="G311">
        <v>300</v>
      </c>
      <c r="H311">
        <v>730800</v>
      </c>
      <c r="I311">
        <v>43848</v>
      </c>
      <c r="J311">
        <v>686952</v>
      </c>
      <c r="K311">
        <v>609000</v>
      </c>
      <c r="L311">
        <v>77952</v>
      </c>
      <c r="M311">
        <v>41609</v>
      </c>
      <c r="N311">
        <v>12</v>
      </c>
      <c r="O311" t="s">
        <v>32</v>
      </c>
      <c r="P311" t="s">
        <v>14</v>
      </c>
    </row>
    <row r="312" spans="1:16" x14ac:dyDescent="0.35">
      <c r="A312" t="s">
        <v>9</v>
      </c>
      <c r="B312" t="s">
        <v>18</v>
      </c>
      <c r="C312" t="s">
        <v>43</v>
      </c>
      <c r="D312" t="s">
        <v>47</v>
      </c>
      <c r="E312">
        <v>1987.5</v>
      </c>
      <c r="F312">
        <v>260</v>
      </c>
      <c r="G312">
        <v>125</v>
      </c>
      <c r="H312">
        <v>248437.5</v>
      </c>
      <c r="I312">
        <v>14906.25</v>
      </c>
      <c r="J312">
        <v>233531.25</v>
      </c>
      <c r="K312">
        <v>238500</v>
      </c>
      <c r="L312">
        <v>-4968.75</v>
      </c>
      <c r="M312">
        <v>41640</v>
      </c>
      <c r="N312">
        <v>1</v>
      </c>
      <c r="O312" t="s">
        <v>21</v>
      </c>
      <c r="P312" t="s">
        <v>15</v>
      </c>
    </row>
    <row r="313" spans="1:16" x14ac:dyDescent="0.35">
      <c r="A313" t="s">
        <v>10</v>
      </c>
      <c r="B313" t="s">
        <v>20</v>
      </c>
      <c r="C313" t="s">
        <v>43</v>
      </c>
      <c r="D313" t="s">
        <v>47</v>
      </c>
      <c r="E313">
        <v>1679</v>
      </c>
      <c r="F313">
        <v>260</v>
      </c>
      <c r="G313">
        <v>350</v>
      </c>
      <c r="H313">
        <v>587650</v>
      </c>
      <c r="I313">
        <v>35259</v>
      </c>
      <c r="J313">
        <v>552391</v>
      </c>
      <c r="K313">
        <v>436540</v>
      </c>
      <c r="L313">
        <v>115851</v>
      </c>
      <c r="M313">
        <v>41883</v>
      </c>
      <c r="N313">
        <v>9</v>
      </c>
      <c r="O313" t="s">
        <v>29</v>
      </c>
      <c r="P313" t="s">
        <v>15</v>
      </c>
    </row>
    <row r="314" spans="1:16" x14ac:dyDescent="0.35">
      <c r="A314" t="s">
        <v>10</v>
      </c>
      <c r="B314" t="s">
        <v>17</v>
      </c>
      <c r="C314" t="s">
        <v>43</v>
      </c>
      <c r="D314" t="s">
        <v>47</v>
      </c>
      <c r="E314">
        <v>727</v>
      </c>
      <c r="F314">
        <v>260</v>
      </c>
      <c r="G314">
        <v>350</v>
      </c>
      <c r="H314">
        <v>254450</v>
      </c>
      <c r="I314">
        <v>15267</v>
      </c>
      <c r="J314">
        <v>239183</v>
      </c>
      <c r="K314">
        <v>189020</v>
      </c>
      <c r="L314">
        <v>50163</v>
      </c>
      <c r="M314">
        <v>41548</v>
      </c>
      <c r="N314">
        <v>10</v>
      </c>
      <c r="O314" t="s">
        <v>30</v>
      </c>
      <c r="P314" t="s">
        <v>14</v>
      </c>
    </row>
    <row r="315" spans="1:16" x14ac:dyDescent="0.35">
      <c r="A315" t="s">
        <v>10</v>
      </c>
      <c r="B315" t="s">
        <v>18</v>
      </c>
      <c r="C315" t="s">
        <v>43</v>
      </c>
      <c r="D315" t="s">
        <v>47</v>
      </c>
      <c r="E315">
        <v>1403</v>
      </c>
      <c r="F315">
        <v>260</v>
      </c>
      <c r="G315">
        <v>7</v>
      </c>
      <c r="H315">
        <v>9821</v>
      </c>
      <c r="I315">
        <v>589.26</v>
      </c>
      <c r="J315">
        <v>9231.74</v>
      </c>
      <c r="K315">
        <v>7015</v>
      </c>
      <c r="L315">
        <v>2216.7399999999998</v>
      </c>
      <c r="M315">
        <v>41548</v>
      </c>
      <c r="N315">
        <v>10</v>
      </c>
      <c r="O315" t="s">
        <v>30</v>
      </c>
      <c r="P315" t="s">
        <v>14</v>
      </c>
    </row>
    <row r="316" spans="1:16" x14ac:dyDescent="0.35">
      <c r="A316" t="s">
        <v>10</v>
      </c>
      <c r="B316" t="s">
        <v>18</v>
      </c>
      <c r="C316" t="s">
        <v>43</v>
      </c>
      <c r="D316" t="s">
        <v>47</v>
      </c>
      <c r="E316">
        <v>2076</v>
      </c>
      <c r="F316">
        <v>260</v>
      </c>
      <c r="G316">
        <v>350</v>
      </c>
      <c r="H316">
        <v>726600</v>
      </c>
      <c r="I316">
        <v>43596</v>
      </c>
      <c r="J316">
        <v>683004</v>
      </c>
      <c r="K316">
        <v>539760</v>
      </c>
      <c r="L316">
        <v>143244</v>
      </c>
      <c r="M316">
        <v>41548</v>
      </c>
      <c r="N316">
        <v>10</v>
      </c>
      <c r="O316" t="s">
        <v>30</v>
      </c>
      <c r="P316" t="s">
        <v>14</v>
      </c>
    </row>
    <row r="317" spans="1:16" x14ac:dyDescent="0.35">
      <c r="A317" t="s">
        <v>10</v>
      </c>
      <c r="B317" t="s">
        <v>18</v>
      </c>
      <c r="C317" t="s">
        <v>39</v>
      </c>
      <c r="D317" t="s">
        <v>47</v>
      </c>
      <c r="E317">
        <v>1757</v>
      </c>
      <c r="F317">
        <v>5</v>
      </c>
      <c r="G317">
        <v>20</v>
      </c>
      <c r="H317">
        <v>35140</v>
      </c>
      <c r="I317">
        <v>2108.4</v>
      </c>
      <c r="J317">
        <v>33031.599999999999</v>
      </c>
      <c r="K317">
        <v>17570</v>
      </c>
      <c r="L317">
        <v>15461.599999999999</v>
      </c>
      <c r="M317">
        <v>41548</v>
      </c>
      <c r="N317">
        <v>10</v>
      </c>
      <c r="O317" t="s">
        <v>30</v>
      </c>
      <c r="P317" t="s">
        <v>14</v>
      </c>
    </row>
    <row r="318" spans="1:16" x14ac:dyDescent="0.35">
      <c r="A318" t="s">
        <v>8</v>
      </c>
      <c r="B318" t="s">
        <v>17</v>
      </c>
      <c r="C318" t="s">
        <v>40</v>
      </c>
      <c r="D318" t="s">
        <v>47</v>
      </c>
      <c r="E318">
        <v>2198</v>
      </c>
      <c r="F318">
        <v>10</v>
      </c>
      <c r="G318">
        <v>15</v>
      </c>
      <c r="H318">
        <v>32970</v>
      </c>
      <c r="I318">
        <v>1978.2</v>
      </c>
      <c r="J318">
        <v>30991.8</v>
      </c>
      <c r="K318">
        <v>21980</v>
      </c>
      <c r="L318">
        <v>9011.7999999999993</v>
      </c>
      <c r="M318">
        <v>41852</v>
      </c>
      <c r="N318">
        <v>8</v>
      </c>
      <c r="O318" t="s">
        <v>28</v>
      </c>
      <c r="P318" t="s">
        <v>15</v>
      </c>
    </row>
    <row r="319" spans="1:16" x14ac:dyDescent="0.35">
      <c r="A319" t="s">
        <v>8</v>
      </c>
      <c r="B319" t="s">
        <v>19</v>
      </c>
      <c r="C319" t="s">
        <v>40</v>
      </c>
      <c r="D319" t="s">
        <v>47</v>
      </c>
      <c r="E319">
        <v>1743</v>
      </c>
      <c r="F319">
        <v>10</v>
      </c>
      <c r="G319">
        <v>15</v>
      </c>
      <c r="H319">
        <v>26145</v>
      </c>
      <c r="I319">
        <v>1568.7</v>
      </c>
      <c r="J319">
        <v>24576.3</v>
      </c>
      <c r="K319">
        <v>17430</v>
      </c>
      <c r="L319">
        <v>7146.2999999999993</v>
      </c>
      <c r="M319">
        <v>41852</v>
      </c>
      <c r="N319">
        <v>8</v>
      </c>
      <c r="O319" t="s">
        <v>28</v>
      </c>
      <c r="P319" t="s">
        <v>15</v>
      </c>
    </row>
    <row r="320" spans="1:16" x14ac:dyDescent="0.35">
      <c r="A320" t="s">
        <v>8</v>
      </c>
      <c r="B320" t="s">
        <v>17</v>
      </c>
      <c r="C320" t="s">
        <v>40</v>
      </c>
      <c r="D320" t="s">
        <v>47</v>
      </c>
      <c r="E320">
        <v>1153</v>
      </c>
      <c r="F320">
        <v>10</v>
      </c>
      <c r="G320">
        <v>15</v>
      </c>
      <c r="H320">
        <v>17295</v>
      </c>
      <c r="I320">
        <v>1037.7</v>
      </c>
      <c r="J320">
        <v>16257.3</v>
      </c>
      <c r="K320">
        <v>11530</v>
      </c>
      <c r="L320">
        <v>4727.2999999999993</v>
      </c>
      <c r="M320">
        <v>41913</v>
      </c>
      <c r="N320">
        <v>10</v>
      </c>
      <c r="O320" t="s">
        <v>30</v>
      </c>
      <c r="P320" t="s">
        <v>15</v>
      </c>
    </row>
    <row r="321" spans="1:16" x14ac:dyDescent="0.35">
      <c r="A321" t="s">
        <v>10</v>
      </c>
      <c r="B321" t="s">
        <v>18</v>
      </c>
      <c r="C321" t="s">
        <v>40</v>
      </c>
      <c r="D321" t="s">
        <v>47</v>
      </c>
      <c r="E321">
        <v>1757</v>
      </c>
      <c r="F321">
        <v>10</v>
      </c>
      <c r="G321">
        <v>20</v>
      </c>
      <c r="H321">
        <v>35140</v>
      </c>
      <c r="I321">
        <v>2108.4</v>
      </c>
      <c r="J321">
        <v>33031.599999999999</v>
      </c>
      <c r="K321">
        <v>17570</v>
      </c>
      <c r="L321">
        <v>15461.599999999999</v>
      </c>
      <c r="M321">
        <v>41548</v>
      </c>
      <c r="N321">
        <v>10</v>
      </c>
      <c r="O321" t="s">
        <v>30</v>
      </c>
      <c r="P321" t="s">
        <v>14</v>
      </c>
    </row>
    <row r="322" spans="1:16" x14ac:dyDescent="0.35">
      <c r="A322" t="s">
        <v>10</v>
      </c>
      <c r="B322" t="s">
        <v>19</v>
      </c>
      <c r="C322" t="s">
        <v>41</v>
      </c>
      <c r="D322" t="s">
        <v>47</v>
      </c>
      <c r="E322">
        <v>1001</v>
      </c>
      <c r="F322">
        <v>120</v>
      </c>
      <c r="G322">
        <v>20</v>
      </c>
      <c r="H322">
        <v>20020</v>
      </c>
      <c r="I322">
        <v>1201.2</v>
      </c>
      <c r="J322">
        <v>18818.8</v>
      </c>
      <c r="K322">
        <v>10010</v>
      </c>
      <c r="L322">
        <v>8808.7999999999993</v>
      </c>
      <c r="M322">
        <v>41852</v>
      </c>
      <c r="N322">
        <v>8</v>
      </c>
      <c r="O322" t="s">
        <v>28</v>
      </c>
      <c r="P322" t="s">
        <v>15</v>
      </c>
    </row>
    <row r="323" spans="1:16" x14ac:dyDescent="0.35">
      <c r="A323" t="s">
        <v>10</v>
      </c>
      <c r="B323" t="s">
        <v>20</v>
      </c>
      <c r="C323" t="s">
        <v>41</v>
      </c>
      <c r="D323" t="s">
        <v>47</v>
      </c>
      <c r="E323">
        <v>1333</v>
      </c>
      <c r="F323">
        <v>120</v>
      </c>
      <c r="G323">
        <v>7</v>
      </c>
      <c r="H323">
        <v>9331</v>
      </c>
      <c r="I323">
        <v>559.86</v>
      </c>
      <c r="J323">
        <v>8771.14</v>
      </c>
      <c r="K323">
        <v>6665</v>
      </c>
      <c r="L323">
        <v>2106.1399999999994</v>
      </c>
      <c r="M323">
        <v>41944</v>
      </c>
      <c r="N323">
        <v>11</v>
      </c>
      <c r="O323" t="s">
        <v>31</v>
      </c>
      <c r="P323" t="s">
        <v>15</v>
      </c>
    </row>
    <row r="324" spans="1:16" x14ac:dyDescent="0.35">
      <c r="A324" t="s">
        <v>8</v>
      </c>
      <c r="B324" t="s">
        <v>17</v>
      </c>
      <c r="C324" t="s">
        <v>42</v>
      </c>
      <c r="D324" t="s">
        <v>47</v>
      </c>
      <c r="E324">
        <v>1153</v>
      </c>
      <c r="F324">
        <v>250</v>
      </c>
      <c r="G324">
        <v>15</v>
      </c>
      <c r="H324">
        <v>17295</v>
      </c>
      <c r="I324">
        <v>1037.7</v>
      </c>
      <c r="J324">
        <v>16257.3</v>
      </c>
      <c r="K324">
        <v>11530</v>
      </c>
      <c r="L324">
        <v>4727.2999999999993</v>
      </c>
      <c r="M324">
        <v>41913</v>
      </c>
      <c r="N324">
        <v>10</v>
      </c>
      <c r="O324" t="s">
        <v>30</v>
      </c>
      <c r="P324" t="s">
        <v>15</v>
      </c>
    </row>
    <row r="325" spans="1:16" x14ac:dyDescent="0.35">
      <c r="A325" t="s">
        <v>11</v>
      </c>
      <c r="B325" t="s">
        <v>20</v>
      </c>
      <c r="C325" t="s">
        <v>38</v>
      </c>
      <c r="D325" t="s">
        <v>47</v>
      </c>
      <c r="E325">
        <v>727</v>
      </c>
      <c r="F325">
        <v>3</v>
      </c>
      <c r="G325">
        <v>12</v>
      </c>
      <c r="H325">
        <v>8724</v>
      </c>
      <c r="I325">
        <v>610.67999999999995</v>
      </c>
      <c r="J325">
        <v>8113.32</v>
      </c>
      <c r="K325">
        <v>2181</v>
      </c>
      <c r="L325">
        <v>5932.32</v>
      </c>
      <c r="M325">
        <v>41671</v>
      </c>
      <c r="N325">
        <v>2</v>
      </c>
      <c r="O325" t="s">
        <v>22</v>
      </c>
      <c r="P325" t="s">
        <v>15</v>
      </c>
    </row>
    <row r="326" spans="1:16" x14ac:dyDescent="0.35">
      <c r="A326" t="s">
        <v>11</v>
      </c>
      <c r="B326" t="s">
        <v>16</v>
      </c>
      <c r="C326" t="s">
        <v>38</v>
      </c>
      <c r="D326" t="s">
        <v>47</v>
      </c>
      <c r="E326">
        <v>1884</v>
      </c>
      <c r="F326">
        <v>3</v>
      </c>
      <c r="G326">
        <v>12</v>
      </c>
      <c r="H326">
        <v>22608</v>
      </c>
      <c r="I326">
        <v>1582.56</v>
      </c>
      <c r="J326">
        <v>21025.439999999999</v>
      </c>
      <c r="K326">
        <v>5652</v>
      </c>
      <c r="L326">
        <v>15373.439999999999</v>
      </c>
      <c r="M326">
        <v>41852</v>
      </c>
      <c r="N326">
        <v>8</v>
      </c>
      <c r="O326" t="s">
        <v>28</v>
      </c>
      <c r="P326" t="s">
        <v>15</v>
      </c>
    </row>
    <row r="327" spans="1:16" x14ac:dyDescent="0.35">
      <c r="A327" t="s">
        <v>10</v>
      </c>
      <c r="B327" t="s">
        <v>20</v>
      </c>
      <c r="C327" t="s">
        <v>38</v>
      </c>
      <c r="D327" t="s">
        <v>47</v>
      </c>
      <c r="E327">
        <v>1834</v>
      </c>
      <c r="F327">
        <v>3</v>
      </c>
      <c r="G327">
        <v>20</v>
      </c>
      <c r="H327">
        <v>36680</v>
      </c>
      <c r="I327">
        <v>2567.6</v>
      </c>
      <c r="J327">
        <v>34112.400000000001</v>
      </c>
      <c r="K327">
        <v>18340</v>
      </c>
      <c r="L327">
        <v>15772.400000000001</v>
      </c>
      <c r="M327">
        <v>41518</v>
      </c>
      <c r="N327">
        <v>9</v>
      </c>
      <c r="O327" t="s">
        <v>29</v>
      </c>
      <c r="P327" t="s">
        <v>14</v>
      </c>
    </row>
    <row r="328" spans="1:16" x14ac:dyDescent="0.35">
      <c r="A328" t="s">
        <v>11</v>
      </c>
      <c r="B328" t="s">
        <v>20</v>
      </c>
      <c r="C328" t="s">
        <v>39</v>
      </c>
      <c r="D328" t="s">
        <v>47</v>
      </c>
      <c r="E328">
        <v>2340</v>
      </c>
      <c r="F328">
        <v>5</v>
      </c>
      <c r="G328">
        <v>12</v>
      </c>
      <c r="H328">
        <v>28080</v>
      </c>
      <c r="I328">
        <v>1965.6</v>
      </c>
      <c r="J328">
        <v>26114.400000000001</v>
      </c>
      <c r="K328">
        <v>7020</v>
      </c>
      <c r="L328">
        <v>19094.400000000001</v>
      </c>
      <c r="M328">
        <v>41640</v>
      </c>
      <c r="N328">
        <v>1</v>
      </c>
      <c r="O328" t="s">
        <v>21</v>
      </c>
      <c r="P328" t="s">
        <v>15</v>
      </c>
    </row>
    <row r="329" spans="1:16" x14ac:dyDescent="0.35">
      <c r="A329" t="s">
        <v>11</v>
      </c>
      <c r="B329" t="s">
        <v>18</v>
      </c>
      <c r="C329" t="s">
        <v>39</v>
      </c>
      <c r="D329" t="s">
        <v>47</v>
      </c>
      <c r="E329">
        <v>2342</v>
      </c>
      <c r="F329">
        <v>5</v>
      </c>
      <c r="G329">
        <v>12</v>
      </c>
      <c r="H329">
        <v>28104</v>
      </c>
      <c r="I329">
        <v>1967.28</v>
      </c>
      <c r="J329">
        <v>26136.720000000001</v>
      </c>
      <c r="K329">
        <v>7026</v>
      </c>
      <c r="L329">
        <v>19110.72</v>
      </c>
      <c r="M329">
        <v>41944</v>
      </c>
      <c r="N329">
        <v>11</v>
      </c>
      <c r="O329" t="s">
        <v>31</v>
      </c>
      <c r="P329" t="s">
        <v>15</v>
      </c>
    </row>
    <row r="330" spans="1:16" x14ac:dyDescent="0.35">
      <c r="A330" t="s">
        <v>10</v>
      </c>
      <c r="B330" t="s">
        <v>18</v>
      </c>
      <c r="C330" t="s">
        <v>40</v>
      </c>
      <c r="D330" t="s">
        <v>47</v>
      </c>
      <c r="E330">
        <v>1031</v>
      </c>
      <c r="F330">
        <v>10</v>
      </c>
      <c r="G330">
        <v>7</v>
      </c>
      <c r="H330">
        <v>7217</v>
      </c>
      <c r="I330">
        <v>505.19</v>
      </c>
      <c r="J330">
        <v>6711.81</v>
      </c>
      <c r="K330">
        <v>5155</v>
      </c>
      <c r="L330">
        <v>1556.8100000000004</v>
      </c>
      <c r="M330">
        <v>41518</v>
      </c>
      <c r="N330">
        <v>9</v>
      </c>
      <c r="O330" t="s">
        <v>29</v>
      </c>
      <c r="P330" t="s">
        <v>14</v>
      </c>
    </row>
    <row r="331" spans="1:16" x14ac:dyDescent="0.35">
      <c r="A331" t="s">
        <v>8</v>
      </c>
      <c r="B331" t="s">
        <v>16</v>
      </c>
      <c r="C331" t="s">
        <v>41</v>
      </c>
      <c r="D331" t="s">
        <v>47</v>
      </c>
      <c r="E331">
        <v>1262</v>
      </c>
      <c r="F331">
        <v>120</v>
      </c>
      <c r="G331">
        <v>15</v>
      </c>
      <c r="H331">
        <v>18930</v>
      </c>
      <c r="I331">
        <v>1325.1</v>
      </c>
      <c r="J331">
        <v>17604.900000000001</v>
      </c>
      <c r="K331">
        <v>12620</v>
      </c>
      <c r="L331">
        <v>4984.9000000000015</v>
      </c>
      <c r="M331">
        <v>41760</v>
      </c>
      <c r="N331">
        <v>5</v>
      </c>
      <c r="O331" t="s">
        <v>25</v>
      </c>
      <c r="P331" t="s">
        <v>15</v>
      </c>
    </row>
    <row r="332" spans="1:16" x14ac:dyDescent="0.35">
      <c r="A332" t="s">
        <v>10</v>
      </c>
      <c r="B332" t="s">
        <v>16</v>
      </c>
      <c r="C332" t="s">
        <v>41</v>
      </c>
      <c r="D332" t="s">
        <v>47</v>
      </c>
      <c r="E332">
        <v>1135</v>
      </c>
      <c r="F332">
        <v>120</v>
      </c>
      <c r="G332">
        <v>7</v>
      </c>
      <c r="H332">
        <v>7945</v>
      </c>
      <c r="I332">
        <v>556.15</v>
      </c>
      <c r="J332">
        <v>7388.85</v>
      </c>
      <c r="K332">
        <v>5675</v>
      </c>
      <c r="L332">
        <v>1713.8500000000004</v>
      </c>
      <c r="M332">
        <v>41791</v>
      </c>
      <c r="N332">
        <v>6</v>
      </c>
      <c r="O332" t="s">
        <v>26</v>
      </c>
      <c r="P332" t="s">
        <v>15</v>
      </c>
    </row>
    <row r="333" spans="1:16" x14ac:dyDescent="0.35">
      <c r="A333" t="s">
        <v>10</v>
      </c>
      <c r="B333" t="s">
        <v>17</v>
      </c>
      <c r="C333" t="s">
        <v>41</v>
      </c>
      <c r="D333" t="s">
        <v>47</v>
      </c>
      <c r="E333">
        <v>547</v>
      </c>
      <c r="F333">
        <v>120</v>
      </c>
      <c r="G333">
        <v>7</v>
      </c>
      <c r="H333">
        <v>3829</v>
      </c>
      <c r="I333">
        <v>268.02999999999997</v>
      </c>
      <c r="J333">
        <v>3560.9700000000003</v>
      </c>
      <c r="K333">
        <v>2735</v>
      </c>
      <c r="L333">
        <v>825.97000000000025</v>
      </c>
      <c r="M333">
        <v>41944</v>
      </c>
      <c r="N333">
        <v>11</v>
      </c>
      <c r="O333" t="s">
        <v>31</v>
      </c>
      <c r="P333" t="s">
        <v>15</v>
      </c>
    </row>
    <row r="334" spans="1:16" x14ac:dyDescent="0.35">
      <c r="A334" t="s">
        <v>10</v>
      </c>
      <c r="B334" t="s">
        <v>16</v>
      </c>
      <c r="C334" t="s">
        <v>41</v>
      </c>
      <c r="D334" t="s">
        <v>47</v>
      </c>
      <c r="E334">
        <v>1582</v>
      </c>
      <c r="F334">
        <v>120</v>
      </c>
      <c r="G334">
        <v>7</v>
      </c>
      <c r="H334">
        <v>11074</v>
      </c>
      <c r="I334">
        <v>775.18</v>
      </c>
      <c r="J334">
        <v>10298.82</v>
      </c>
      <c r="K334">
        <v>7910</v>
      </c>
      <c r="L334">
        <v>2388.8199999999997</v>
      </c>
      <c r="M334">
        <v>41974</v>
      </c>
      <c r="N334">
        <v>12</v>
      </c>
      <c r="O334" t="s">
        <v>32</v>
      </c>
      <c r="P334" t="s">
        <v>15</v>
      </c>
    </row>
    <row r="335" spans="1:16" x14ac:dyDescent="0.35">
      <c r="A335" t="s">
        <v>11</v>
      </c>
      <c r="B335" t="s">
        <v>18</v>
      </c>
      <c r="C335" t="s">
        <v>42</v>
      </c>
      <c r="D335" t="s">
        <v>47</v>
      </c>
      <c r="E335">
        <v>1738.5</v>
      </c>
      <c r="F335">
        <v>250</v>
      </c>
      <c r="G335">
        <v>12</v>
      </c>
      <c r="H335">
        <v>20862</v>
      </c>
      <c r="I335">
        <v>1460.34</v>
      </c>
      <c r="J335">
        <v>19401.66</v>
      </c>
      <c r="K335">
        <v>5215.5</v>
      </c>
      <c r="L335">
        <v>14186.16</v>
      </c>
      <c r="M335">
        <v>41730</v>
      </c>
      <c r="N335">
        <v>4</v>
      </c>
      <c r="O335" t="s">
        <v>24</v>
      </c>
      <c r="P335" t="s">
        <v>15</v>
      </c>
    </row>
    <row r="336" spans="1:16" x14ac:dyDescent="0.35">
      <c r="A336" t="s">
        <v>11</v>
      </c>
      <c r="B336" t="s">
        <v>19</v>
      </c>
      <c r="C336" t="s">
        <v>42</v>
      </c>
      <c r="D336" t="s">
        <v>47</v>
      </c>
      <c r="E336">
        <v>2215</v>
      </c>
      <c r="F336">
        <v>250</v>
      </c>
      <c r="G336">
        <v>12</v>
      </c>
      <c r="H336">
        <v>26580</v>
      </c>
      <c r="I336">
        <v>1860.6</v>
      </c>
      <c r="J336">
        <v>24719.4</v>
      </c>
      <c r="K336">
        <v>6645</v>
      </c>
      <c r="L336">
        <v>18074.400000000001</v>
      </c>
      <c r="M336">
        <v>41518</v>
      </c>
      <c r="N336">
        <v>9</v>
      </c>
      <c r="O336" t="s">
        <v>29</v>
      </c>
      <c r="P336" t="s">
        <v>14</v>
      </c>
    </row>
    <row r="337" spans="1:16" x14ac:dyDescent="0.35">
      <c r="A337" t="s">
        <v>10</v>
      </c>
      <c r="B337" t="s">
        <v>16</v>
      </c>
      <c r="C337" t="s">
        <v>42</v>
      </c>
      <c r="D337" t="s">
        <v>47</v>
      </c>
      <c r="E337">
        <v>1582</v>
      </c>
      <c r="F337">
        <v>250</v>
      </c>
      <c r="G337">
        <v>7</v>
      </c>
      <c r="H337">
        <v>11074</v>
      </c>
      <c r="I337">
        <v>775.18</v>
      </c>
      <c r="J337">
        <v>10298.82</v>
      </c>
      <c r="K337">
        <v>7910</v>
      </c>
      <c r="L337">
        <v>2388.8199999999997</v>
      </c>
      <c r="M337">
        <v>41974</v>
      </c>
      <c r="N337">
        <v>12</v>
      </c>
      <c r="O337" t="s">
        <v>32</v>
      </c>
      <c r="P337" t="s">
        <v>15</v>
      </c>
    </row>
    <row r="338" spans="1:16" x14ac:dyDescent="0.35">
      <c r="A338" t="s">
        <v>10</v>
      </c>
      <c r="B338" t="s">
        <v>16</v>
      </c>
      <c r="C338" t="s">
        <v>43</v>
      </c>
      <c r="D338" t="s">
        <v>47</v>
      </c>
      <c r="E338">
        <v>1135</v>
      </c>
      <c r="F338">
        <v>260</v>
      </c>
      <c r="G338">
        <v>7</v>
      </c>
      <c r="H338">
        <v>7945</v>
      </c>
      <c r="I338">
        <v>556.15</v>
      </c>
      <c r="J338">
        <v>7388.85</v>
      </c>
      <c r="K338">
        <v>5675</v>
      </c>
      <c r="L338">
        <v>1713.8500000000004</v>
      </c>
      <c r="M338">
        <v>41791</v>
      </c>
      <c r="N338">
        <v>6</v>
      </c>
      <c r="O338" t="s">
        <v>26</v>
      </c>
      <c r="P338" t="s">
        <v>15</v>
      </c>
    </row>
    <row r="339" spans="1:16" x14ac:dyDescent="0.35">
      <c r="A339" t="s">
        <v>10</v>
      </c>
      <c r="B339" t="s">
        <v>17</v>
      </c>
      <c r="C339" t="s">
        <v>38</v>
      </c>
      <c r="D339" t="s">
        <v>47</v>
      </c>
      <c r="E339">
        <v>1761</v>
      </c>
      <c r="F339">
        <v>3</v>
      </c>
      <c r="G339">
        <v>350</v>
      </c>
      <c r="H339">
        <v>616350</v>
      </c>
      <c r="I339">
        <v>43144.5</v>
      </c>
      <c r="J339">
        <v>573205.5</v>
      </c>
      <c r="K339">
        <v>457860</v>
      </c>
      <c r="L339">
        <v>115345.5</v>
      </c>
      <c r="M339">
        <v>41699</v>
      </c>
      <c r="N339">
        <v>3</v>
      </c>
      <c r="O339" t="s">
        <v>23</v>
      </c>
      <c r="P339" t="s">
        <v>15</v>
      </c>
    </row>
    <row r="340" spans="1:16" x14ac:dyDescent="0.35">
      <c r="A340" t="s">
        <v>7</v>
      </c>
      <c r="B340" t="s">
        <v>18</v>
      </c>
      <c r="C340" t="s">
        <v>38</v>
      </c>
      <c r="D340" t="s">
        <v>47</v>
      </c>
      <c r="E340">
        <v>448</v>
      </c>
      <c r="F340">
        <v>3</v>
      </c>
      <c r="G340">
        <v>300</v>
      </c>
      <c r="H340">
        <v>134400</v>
      </c>
      <c r="I340">
        <v>9408</v>
      </c>
      <c r="J340">
        <v>124992</v>
      </c>
      <c r="K340">
        <v>112000</v>
      </c>
      <c r="L340">
        <v>12992</v>
      </c>
      <c r="M340">
        <v>41791</v>
      </c>
      <c r="N340">
        <v>6</v>
      </c>
      <c r="O340" t="s">
        <v>26</v>
      </c>
      <c r="P340" t="s">
        <v>15</v>
      </c>
    </row>
    <row r="341" spans="1:16" x14ac:dyDescent="0.35">
      <c r="A341" t="s">
        <v>7</v>
      </c>
      <c r="B341" t="s">
        <v>18</v>
      </c>
      <c r="C341" t="s">
        <v>38</v>
      </c>
      <c r="D341" t="s">
        <v>47</v>
      </c>
      <c r="E341">
        <v>2181</v>
      </c>
      <c r="F341">
        <v>3</v>
      </c>
      <c r="G341">
        <v>300</v>
      </c>
      <c r="H341">
        <v>654300</v>
      </c>
      <c r="I341">
        <v>45801</v>
      </c>
      <c r="J341">
        <v>608499</v>
      </c>
      <c r="K341">
        <v>545250</v>
      </c>
      <c r="L341">
        <v>63249</v>
      </c>
      <c r="M341">
        <v>41913</v>
      </c>
      <c r="N341">
        <v>10</v>
      </c>
      <c r="O341" t="s">
        <v>30</v>
      </c>
      <c r="P341" t="s">
        <v>15</v>
      </c>
    </row>
    <row r="342" spans="1:16" x14ac:dyDescent="0.35">
      <c r="A342" t="s">
        <v>10</v>
      </c>
      <c r="B342" t="s">
        <v>18</v>
      </c>
      <c r="C342" t="s">
        <v>39</v>
      </c>
      <c r="D342" t="s">
        <v>47</v>
      </c>
      <c r="E342">
        <v>1976</v>
      </c>
      <c r="F342">
        <v>5</v>
      </c>
      <c r="G342">
        <v>20</v>
      </c>
      <c r="H342">
        <v>39520</v>
      </c>
      <c r="I342">
        <v>2766.4</v>
      </c>
      <c r="J342">
        <v>36753.599999999999</v>
      </c>
      <c r="K342">
        <v>19760</v>
      </c>
      <c r="L342">
        <v>16993.599999999999</v>
      </c>
      <c r="M342">
        <v>41913</v>
      </c>
      <c r="N342">
        <v>10</v>
      </c>
      <c r="O342" t="s">
        <v>30</v>
      </c>
      <c r="P342" t="s">
        <v>15</v>
      </c>
    </row>
    <row r="343" spans="1:16" x14ac:dyDescent="0.35">
      <c r="A343" t="s">
        <v>7</v>
      </c>
      <c r="B343" t="s">
        <v>18</v>
      </c>
      <c r="C343" t="s">
        <v>39</v>
      </c>
      <c r="D343" t="s">
        <v>47</v>
      </c>
      <c r="E343">
        <v>2181</v>
      </c>
      <c r="F343">
        <v>5</v>
      </c>
      <c r="G343">
        <v>300</v>
      </c>
      <c r="H343">
        <v>654300</v>
      </c>
      <c r="I343">
        <v>45801</v>
      </c>
      <c r="J343">
        <v>608499</v>
      </c>
      <c r="K343">
        <v>545250</v>
      </c>
      <c r="L343">
        <v>63249</v>
      </c>
      <c r="M343">
        <v>41913</v>
      </c>
      <c r="N343">
        <v>10</v>
      </c>
      <c r="O343" t="s">
        <v>30</v>
      </c>
      <c r="P343" t="s">
        <v>15</v>
      </c>
    </row>
    <row r="344" spans="1:16" x14ac:dyDescent="0.35">
      <c r="A344" t="s">
        <v>9</v>
      </c>
      <c r="B344" t="s">
        <v>19</v>
      </c>
      <c r="C344" t="s">
        <v>39</v>
      </c>
      <c r="D344" t="s">
        <v>47</v>
      </c>
      <c r="E344">
        <v>2500</v>
      </c>
      <c r="F344">
        <v>5</v>
      </c>
      <c r="G344">
        <v>125</v>
      </c>
      <c r="H344">
        <v>312500</v>
      </c>
      <c r="I344">
        <v>21875</v>
      </c>
      <c r="J344">
        <v>290625</v>
      </c>
      <c r="K344">
        <v>300000</v>
      </c>
      <c r="L344">
        <v>-9375</v>
      </c>
      <c r="M344">
        <v>41579</v>
      </c>
      <c r="N344">
        <v>11</v>
      </c>
      <c r="O344" t="s">
        <v>31</v>
      </c>
      <c r="P344" t="s">
        <v>14</v>
      </c>
    </row>
    <row r="345" spans="1:16" x14ac:dyDescent="0.35">
      <c r="A345" t="s">
        <v>7</v>
      </c>
      <c r="B345" t="s">
        <v>16</v>
      </c>
      <c r="C345" t="s">
        <v>40</v>
      </c>
      <c r="D345" t="s">
        <v>47</v>
      </c>
      <c r="E345">
        <v>1702</v>
      </c>
      <c r="F345">
        <v>10</v>
      </c>
      <c r="G345">
        <v>300</v>
      </c>
      <c r="H345">
        <v>510600</v>
      </c>
      <c r="I345">
        <v>35742</v>
      </c>
      <c r="J345">
        <v>474858</v>
      </c>
      <c r="K345">
        <v>425500</v>
      </c>
      <c r="L345">
        <v>49358</v>
      </c>
      <c r="M345">
        <v>41760</v>
      </c>
      <c r="N345">
        <v>5</v>
      </c>
      <c r="O345" t="s">
        <v>25</v>
      </c>
      <c r="P345" t="s">
        <v>15</v>
      </c>
    </row>
    <row r="346" spans="1:16" x14ac:dyDescent="0.35">
      <c r="A346" t="s">
        <v>7</v>
      </c>
      <c r="B346" t="s">
        <v>18</v>
      </c>
      <c r="C346" t="s">
        <v>40</v>
      </c>
      <c r="D346" t="s">
        <v>47</v>
      </c>
      <c r="E346">
        <v>448</v>
      </c>
      <c r="F346">
        <v>10</v>
      </c>
      <c r="G346">
        <v>300</v>
      </c>
      <c r="H346">
        <v>134400</v>
      </c>
      <c r="I346">
        <v>9408</v>
      </c>
      <c r="J346">
        <v>124992</v>
      </c>
      <c r="K346">
        <v>112000</v>
      </c>
      <c r="L346">
        <v>12992</v>
      </c>
      <c r="M346">
        <v>41791</v>
      </c>
      <c r="N346">
        <v>6</v>
      </c>
      <c r="O346" t="s">
        <v>26</v>
      </c>
      <c r="P346" t="s">
        <v>15</v>
      </c>
    </row>
    <row r="347" spans="1:16" x14ac:dyDescent="0.35">
      <c r="A347" t="s">
        <v>9</v>
      </c>
      <c r="B347" t="s">
        <v>19</v>
      </c>
      <c r="C347" t="s">
        <v>40</v>
      </c>
      <c r="D347" t="s">
        <v>47</v>
      </c>
      <c r="E347">
        <v>3513</v>
      </c>
      <c r="F347">
        <v>10</v>
      </c>
      <c r="G347">
        <v>125</v>
      </c>
      <c r="H347">
        <v>439125</v>
      </c>
      <c r="I347">
        <v>30738.75</v>
      </c>
      <c r="J347">
        <v>408386.25</v>
      </c>
      <c r="K347">
        <v>421560</v>
      </c>
      <c r="L347">
        <v>-13173.75</v>
      </c>
      <c r="M347">
        <v>41821</v>
      </c>
      <c r="N347">
        <v>7</v>
      </c>
      <c r="O347" t="s">
        <v>27</v>
      </c>
      <c r="P347" t="s">
        <v>15</v>
      </c>
    </row>
    <row r="348" spans="1:16" x14ac:dyDescent="0.35">
      <c r="A348" t="s">
        <v>8</v>
      </c>
      <c r="B348" t="s">
        <v>18</v>
      </c>
      <c r="C348" t="s">
        <v>40</v>
      </c>
      <c r="D348" t="s">
        <v>47</v>
      </c>
      <c r="E348">
        <v>2101</v>
      </c>
      <c r="F348">
        <v>10</v>
      </c>
      <c r="G348">
        <v>15</v>
      </c>
      <c r="H348">
        <v>31515</v>
      </c>
      <c r="I348">
        <v>2206.0500000000002</v>
      </c>
      <c r="J348">
        <v>29308.95</v>
      </c>
      <c r="K348">
        <v>21010</v>
      </c>
      <c r="L348">
        <v>8298.9500000000007</v>
      </c>
      <c r="M348">
        <v>41852</v>
      </c>
      <c r="N348">
        <v>8</v>
      </c>
      <c r="O348" t="s">
        <v>28</v>
      </c>
      <c r="P348" t="s">
        <v>15</v>
      </c>
    </row>
    <row r="349" spans="1:16" x14ac:dyDescent="0.35">
      <c r="A349" t="s">
        <v>8</v>
      </c>
      <c r="B349" t="s">
        <v>17</v>
      </c>
      <c r="C349" t="s">
        <v>40</v>
      </c>
      <c r="D349" t="s">
        <v>47</v>
      </c>
      <c r="E349">
        <v>2931</v>
      </c>
      <c r="F349">
        <v>10</v>
      </c>
      <c r="G349">
        <v>15</v>
      </c>
      <c r="H349">
        <v>43965</v>
      </c>
      <c r="I349">
        <v>3077.55</v>
      </c>
      <c r="J349">
        <v>40887.449999999997</v>
      </c>
      <c r="K349">
        <v>29310</v>
      </c>
      <c r="L349">
        <v>11577.449999999997</v>
      </c>
      <c r="M349">
        <v>41518</v>
      </c>
      <c r="N349">
        <v>9</v>
      </c>
      <c r="O349" t="s">
        <v>29</v>
      </c>
      <c r="P349" t="s">
        <v>14</v>
      </c>
    </row>
    <row r="350" spans="1:16" x14ac:dyDescent="0.35">
      <c r="A350" t="s">
        <v>10</v>
      </c>
      <c r="B350" t="s">
        <v>18</v>
      </c>
      <c r="C350" t="s">
        <v>40</v>
      </c>
      <c r="D350" t="s">
        <v>47</v>
      </c>
      <c r="E350">
        <v>1535</v>
      </c>
      <c r="F350">
        <v>10</v>
      </c>
      <c r="G350">
        <v>20</v>
      </c>
      <c r="H350">
        <v>30700</v>
      </c>
      <c r="I350">
        <v>2149</v>
      </c>
      <c r="J350">
        <v>28551</v>
      </c>
      <c r="K350">
        <v>15350</v>
      </c>
      <c r="L350">
        <v>13201</v>
      </c>
      <c r="M350">
        <v>41883</v>
      </c>
      <c r="N350">
        <v>9</v>
      </c>
      <c r="O350" t="s">
        <v>29</v>
      </c>
      <c r="P350" t="s">
        <v>15</v>
      </c>
    </row>
    <row r="351" spans="1:16" x14ac:dyDescent="0.35">
      <c r="A351" t="s">
        <v>7</v>
      </c>
      <c r="B351" t="s">
        <v>19</v>
      </c>
      <c r="C351" t="s">
        <v>40</v>
      </c>
      <c r="D351" t="s">
        <v>47</v>
      </c>
      <c r="E351">
        <v>1123</v>
      </c>
      <c r="F351">
        <v>10</v>
      </c>
      <c r="G351">
        <v>300</v>
      </c>
      <c r="H351">
        <v>336900</v>
      </c>
      <c r="I351">
        <v>23583</v>
      </c>
      <c r="J351">
        <v>313317</v>
      </c>
      <c r="K351">
        <v>280750</v>
      </c>
      <c r="L351">
        <v>32567</v>
      </c>
      <c r="M351">
        <v>41518</v>
      </c>
      <c r="N351">
        <v>9</v>
      </c>
      <c r="O351" t="s">
        <v>29</v>
      </c>
      <c r="P351" t="s">
        <v>14</v>
      </c>
    </row>
    <row r="352" spans="1:16" x14ac:dyDescent="0.35">
      <c r="A352" t="s">
        <v>7</v>
      </c>
      <c r="B352" t="s">
        <v>16</v>
      </c>
      <c r="C352" t="s">
        <v>40</v>
      </c>
      <c r="D352" t="s">
        <v>47</v>
      </c>
      <c r="E352">
        <v>1404</v>
      </c>
      <c r="F352">
        <v>10</v>
      </c>
      <c r="G352">
        <v>300</v>
      </c>
      <c r="H352">
        <v>421200</v>
      </c>
      <c r="I352">
        <v>29484</v>
      </c>
      <c r="J352">
        <v>391716</v>
      </c>
      <c r="K352">
        <v>351000</v>
      </c>
      <c r="L352">
        <v>40716</v>
      </c>
      <c r="M352">
        <v>41579</v>
      </c>
      <c r="N352">
        <v>11</v>
      </c>
      <c r="O352" t="s">
        <v>31</v>
      </c>
      <c r="P352" t="s">
        <v>14</v>
      </c>
    </row>
    <row r="353" spans="1:16" x14ac:dyDescent="0.35">
      <c r="A353" t="s">
        <v>11</v>
      </c>
      <c r="B353" t="s">
        <v>20</v>
      </c>
      <c r="C353" t="s">
        <v>40</v>
      </c>
      <c r="D353" t="s">
        <v>47</v>
      </c>
      <c r="E353">
        <v>2763</v>
      </c>
      <c r="F353">
        <v>10</v>
      </c>
      <c r="G353">
        <v>12</v>
      </c>
      <c r="H353">
        <v>33156</v>
      </c>
      <c r="I353">
        <v>2320.92</v>
      </c>
      <c r="J353">
        <v>30835.08</v>
      </c>
      <c r="K353">
        <v>8289</v>
      </c>
      <c r="L353">
        <v>22546.080000000002</v>
      </c>
      <c r="M353">
        <v>41579</v>
      </c>
      <c r="N353">
        <v>11</v>
      </c>
      <c r="O353" t="s">
        <v>31</v>
      </c>
      <c r="P353" t="s">
        <v>14</v>
      </c>
    </row>
    <row r="354" spans="1:16" x14ac:dyDescent="0.35">
      <c r="A354" t="s">
        <v>10</v>
      </c>
      <c r="B354" t="s">
        <v>19</v>
      </c>
      <c r="C354" t="s">
        <v>40</v>
      </c>
      <c r="D354" t="s">
        <v>47</v>
      </c>
      <c r="E354">
        <v>2125</v>
      </c>
      <c r="F354">
        <v>10</v>
      </c>
      <c r="G354">
        <v>7</v>
      </c>
      <c r="H354">
        <v>14875</v>
      </c>
      <c r="I354">
        <v>1041.25</v>
      </c>
      <c r="J354">
        <v>13833.75</v>
      </c>
      <c r="K354">
        <v>10625</v>
      </c>
      <c r="L354">
        <v>3208.75</v>
      </c>
      <c r="M354">
        <v>41609</v>
      </c>
      <c r="N354">
        <v>12</v>
      </c>
      <c r="O354" t="s">
        <v>32</v>
      </c>
      <c r="P354" t="s">
        <v>14</v>
      </c>
    </row>
    <row r="355" spans="1:16" x14ac:dyDescent="0.35">
      <c r="A355" t="s">
        <v>7</v>
      </c>
      <c r="B355" t="s">
        <v>18</v>
      </c>
      <c r="C355" t="s">
        <v>41</v>
      </c>
      <c r="D355" t="s">
        <v>47</v>
      </c>
      <c r="E355">
        <v>1659</v>
      </c>
      <c r="F355">
        <v>120</v>
      </c>
      <c r="G355">
        <v>300</v>
      </c>
      <c r="H355">
        <v>497700</v>
      </c>
      <c r="I355">
        <v>34839</v>
      </c>
      <c r="J355">
        <v>462861</v>
      </c>
      <c r="K355">
        <v>414750</v>
      </c>
      <c r="L355">
        <v>48111</v>
      </c>
      <c r="M355">
        <v>41821</v>
      </c>
      <c r="N355">
        <v>7</v>
      </c>
      <c r="O355" t="s">
        <v>27</v>
      </c>
      <c r="P355" t="s">
        <v>15</v>
      </c>
    </row>
    <row r="356" spans="1:16" x14ac:dyDescent="0.35">
      <c r="A356" t="s">
        <v>10</v>
      </c>
      <c r="B356" t="s">
        <v>20</v>
      </c>
      <c r="C356" t="s">
        <v>41</v>
      </c>
      <c r="D356" t="s">
        <v>47</v>
      </c>
      <c r="E356">
        <v>609</v>
      </c>
      <c r="F356">
        <v>120</v>
      </c>
      <c r="G356">
        <v>20</v>
      </c>
      <c r="H356">
        <v>12180</v>
      </c>
      <c r="I356">
        <v>852.6</v>
      </c>
      <c r="J356">
        <v>11327.4</v>
      </c>
      <c r="K356">
        <v>6090</v>
      </c>
      <c r="L356">
        <v>5237.3999999999996</v>
      </c>
      <c r="M356">
        <v>41852</v>
      </c>
      <c r="N356">
        <v>8</v>
      </c>
      <c r="O356" t="s">
        <v>28</v>
      </c>
      <c r="P356" t="s">
        <v>15</v>
      </c>
    </row>
    <row r="357" spans="1:16" x14ac:dyDescent="0.35">
      <c r="A357" t="s">
        <v>9</v>
      </c>
      <c r="B357" t="s">
        <v>19</v>
      </c>
      <c r="C357" t="s">
        <v>41</v>
      </c>
      <c r="D357" t="s">
        <v>47</v>
      </c>
      <c r="E357">
        <v>2087</v>
      </c>
      <c r="F357">
        <v>120</v>
      </c>
      <c r="G357">
        <v>125</v>
      </c>
      <c r="H357">
        <v>260875</v>
      </c>
      <c r="I357">
        <v>18261.25</v>
      </c>
      <c r="J357">
        <v>242613.75</v>
      </c>
      <c r="K357">
        <v>250440</v>
      </c>
      <c r="L357">
        <v>-7826.25</v>
      </c>
      <c r="M357">
        <v>41883</v>
      </c>
      <c r="N357">
        <v>9</v>
      </c>
      <c r="O357" t="s">
        <v>29</v>
      </c>
      <c r="P357" t="s">
        <v>15</v>
      </c>
    </row>
    <row r="358" spans="1:16" x14ac:dyDescent="0.35">
      <c r="A358" t="s">
        <v>10</v>
      </c>
      <c r="B358" t="s">
        <v>18</v>
      </c>
      <c r="C358" t="s">
        <v>41</v>
      </c>
      <c r="D358" t="s">
        <v>47</v>
      </c>
      <c r="E358">
        <v>1976</v>
      </c>
      <c r="F358">
        <v>120</v>
      </c>
      <c r="G358">
        <v>20</v>
      </c>
      <c r="H358">
        <v>39520</v>
      </c>
      <c r="I358">
        <v>2766.4</v>
      </c>
      <c r="J358">
        <v>36753.599999999999</v>
      </c>
      <c r="K358">
        <v>19760</v>
      </c>
      <c r="L358">
        <v>16993.599999999999</v>
      </c>
      <c r="M358">
        <v>41913</v>
      </c>
      <c r="N358">
        <v>10</v>
      </c>
      <c r="O358" t="s">
        <v>30</v>
      </c>
      <c r="P358" t="s">
        <v>15</v>
      </c>
    </row>
    <row r="359" spans="1:16" x14ac:dyDescent="0.35">
      <c r="A359" t="s">
        <v>10</v>
      </c>
      <c r="B359" t="s">
        <v>17</v>
      </c>
      <c r="C359" t="s">
        <v>41</v>
      </c>
      <c r="D359" t="s">
        <v>47</v>
      </c>
      <c r="E359">
        <v>1421</v>
      </c>
      <c r="F359">
        <v>120</v>
      </c>
      <c r="G359">
        <v>20</v>
      </c>
      <c r="H359">
        <v>28420</v>
      </c>
      <c r="I359">
        <v>1989.4</v>
      </c>
      <c r="J359">
        <v>26430.6</v>
      </c>
      <c r="K359">
        <v>14210</v>
      </c>
      <c r="L359">
        <v>12220.599999999999</v>
      </c>
      <c r="M359">
        <v>41609</v>
      </c>
      <c r="N359">
        <v>12</v>
      </c>
      <c r="O359" t="s">
        <v>32</v>
      </c>
      <c r="P359" t="s">
        <v>14</v>
      </c>
    </row>
    <row r="360" spans="1:16" x14ac:dyDescent="0.35">
      <c r="A360" t="s">
        <v>7</v>
      </c>
      <c r="B360" t="s">
        <v>17</v>
      </c>
      <c r="C360" t="s">
        <v>41</v>
      </c>
      <c r="D360" t="s">
        <v>47</v>
      </c>
      <c r="E360">
        <v>1372</v>
      </c>
      <c r="F360">
        <v>120</v>
      </c>
      <c r="G360">
        <v>300</v>
      </c>
      <c r="H360">
        <v>411600</v>
      </c>
      <c r="I360">
        <v>28812</v>
      </c>
      <c r="J360">
        <v>382788</v>
      </c>
      <c r="K360">
        <v>343000</v>
      </c>
      <c r="L360">
        <v>39788</v>
      </c>
      <c r="M360">
        <v>41974</v>
      </c>
      <c r="N360">
        <v>12</v>
      </c>
      <c r="O360" t="s">
        <v>32</v>
      </c>
      <c r="P360" t="s">
        <v>15</v>
      </c>
    </row>
    <row r="361" spans="1:16" x14ac:dyDescent="0.35">
      <c r="A361" t="s">
        <v>10</v>
      </c>
      <c r="B361" t="s">
        <v>19</v>
      </c>
      <c r="C361" t="s">
        <v>41</v>
      </c>
      <c r="D361" t="s">
        <v>47</v>
      </c>
      <c r="E361">
        <v>588</v>
      </c>
      <c r="F361">
        <v>120</v>
      </c>
      <c r="G361">
        <v>20</v>
      </c>
      <c r="H361">
        <v>11760</v>
      </c>
      <c r="I361">
        <v>823.2</v>
      </c>
      <c r="J361">
        <v>10936.8</v>
      </c>
      <c r="K361">
        <v>5880</v>
      </c>
      <c r="L361">
        <v>5056.7999999999993</v>
      </c>
      <c r="M361">
        <v>41609</v>
      </c>
      <c r="N361">
        <v>12</v>
      </c>
      <c r="O361" t="s">
        <v>32</v>
      </c>
      <c r="P361" t="s">
        <v>14</v>
      </c>
    </row>
    <row r="362" spans="1:16" x14ac:dyDescent="0.35">
      <c r="A362" t="s">
        <v>11</v>
      </c>
      <c r="B362" t="s">
        <v>16</v>
      </c>
      <c r="C362" t="s">
        <v>42</v>
      </c>
      <c r="D362" t="s">
        <v>47</v>
      </c>
      <c r="E362">
        <v>3244.5</v>
      </c>
      <c r="F362">
        <v>250</v>
      </c>
      <c r="G362">
        <v>12</v>
      </c>
      <c r="H362">
        <v>38934</v>
      </c>
      <c r="I362">
        <v>2725.38</v>
      </c>
      <c r="J362">
        <v>36208.620000000003</v>
      </c>
      <c r="K362">
        <v>9733.5</v>
      </c>
      <c r="L362">
        <v>26475.120000000003</v>
      </c>
      <c r="M362">
        <v>41640</v>
      </c>
      <c r="N362">
        <v>1</v>
      </c>
      <c r="O362" t="s">
        <v>21</v>
      </c>
      <c r="P362" t="s">
        <v>15</v>
      </c>
    </row>
    <row r="363" spans="1:16" x14ac:dyDescent="0.35">
      <c r="A363" t="s">
        <v>7</v>
      </c>
      <c r="B363" t="s">
        <v>18</v>
      </c>
      <c r="C363" t="s">
        <v>42</v>
      </c>
      <c r="D363" t="s">
        <v>47</v>
      </c>
      <c r="E363">
        <v>959</v>
      </c>
      <c r="F363">
        <v>250</v>
      </c>
      <c r="G363">
        <v>300</v>
      </c>
      <c r="H363">
        <v>287700</v>
      </c>
      <c r="I363">
        <v>20139</v>
      </c>
      <c r="J363">
        <v>267561</v>
      </c>
      <c r="K363">
        <v>239750</v>
      </c>
      <c r="L363">
        <v>27811</v>
      </c>
      <c r="M363">
        <v>41671</v>
      </c>
      <c r="N363">
        <v>2</v>
      </c>
      <c r="O363" t="s">
        <v>22</v>
      </c>
      <c r="P363" t="s">
        <v>15</v>
      </c>
    </row>
    <row r="364" spans="1:16" x14ac:dyDescent="0.35">
      <c r="A364" t="s">
        <v>7</v>
      </c>
      <c r="B364" t="s">
        <v>20</v>
      </c>
      <c r="C364" t="s">
        <v>42</v>
      </c>
      <c r="D364" t="s">
        <v>47</v>
      </c>
      <c r="E364">
        <v>2747</v>
      </c>
      <c r="F364">
        <v>250</v>
      </c>
      <c r="G364">
        <v>300</v>
      </c>
      <c r="H364">
        <v>824100</v>
      </c>
      <c r="I364">
        <v>57687</v>
      </c>
      <c r="J364">
        <v>766413</v>
      </c>
      <c r="K364">
        <v>686750</v>
      </c>
      <c r="L364">
        <v>79663</v>
      </c>
      <c r="M364">
        <v>41671</v>
      </c>
      <c r="N364">
        <v>2</v>
      </c>
      <c r="O364" t="s">
        <v>22</v>
      </c>
      <c r="P364" t="s">
        <v>15</v>
      </c>
    </row>
    <row r="365" spans="1:16" x14ac:dyDescent="0.35">
      <c r="A365" t="s">
        <v>9</v>
      </c>
      <c r="B365" t="s">
        <v>16</v>
      </c>
      <c r="C365" t="s">
        <v>43</v>
      </c>
      <c r="D365" t="s">
        <v>47</v>
      </c>
      <c r="E365">
        <v>1645</v>
      </c>
      <c r="F365">
        <v>260</v>
      </c>
      <c r="G365">
        <v>125</v>
      </c>
      <c r="H365">
        <v>205625</v>
      </c>
      <c r="I365">
        <v>14393.75</v>
      </c>
      <c r="J365">
        <v>191231.25</v>
      </c>
      <c r="K365">
        <v>197400</v>
      </c>
      <c r="L365">
        <v>-6168.75</v>
      </c>
      <c r="M365">
        <v>41760</v>
      </c>
      <c r="N365">
        <v>5</v>
      </c>
      <c r="O365" t="s">
        <v>25</v>
      </c>
      <c r="P365" t="s">
        <v>15</v>
      </c>
    </row>
    <row r="366" spans="1:16" x14ac:dyDescent="0.35">
      <c r="A366" t="s">
        <v>10</v>
      </c>
      <c r="B366" t="s">
        <v>18</v>
      </c>
      <c r="C366" t="s">
        <v>43</v>
      </c>
      <c r="D366" t="s">
        <v>47</v>
      </c>
      <c r="E366">
        <v>2876</v>
      </c>
      <c r="F366">
        <v>260</v>
      </c>
      <c r="G366">
        <v>350</v>
      </c>
      <c r="H366">
        <v>1006600</v>
      </c>
      <c r="I366">
        <v>70462</v>
      </c>
      <c r="J366">
        <v>936138</v>
      </c>
      <c r="K366">
        <v>747760</v>
      </c>
      <c r="L366">
        <v>188378</v>
      </c>
      <c r="M366">
        <v>41883</v>
      </c>
      <c r="N366">
        <v>9</v>
      </c>
      <c r="O366" t="s">
        <v>29</v>
      </c>
      <c r="P366" t="s">
        <v>15</v>
      </c>
    </row>
    <row r="367" spans="1:16" x14ac:dyDescent="0.35">
      <c r="A367" t="s">
        <v>9</v>
      </c>
      <c r="B367" t="s">
        <v>19</v>
      </c>
      <c r="C367" t="s">
        <v>43</v>
      </c>
      <c r="D367" t="s">
        <v>47</v>
      </c>
      <c r="E367">
        <v>994</v>
      </c>
      <c r="F367">
        <v>260</v>
      </c>
      <c r="G367">
        <v>125</v>
      </c>
      <c r="H367">
        <v>124250</v>
      </c>
      <c r="I367">
        <v>8697.5</v>
      </c>
      <c r="J367">
        <v>115552.5</v>
      </c>
      <c r="K367">
        <v>119280</v>
      </c>
      <c r="L367">
        <v>-3727.5</v>
      </c>
      <c r="M367">
        <v>41518</v>
      </c>
      <c r="N367">
        <v>9</v>
      </c>
      <c r="O367" t="s">
        <v>29</v>
      </c>
      <c r="P367" t="s">
        <v>14</v>
      </c>
    </row>
    <row r="368" spans="1:16" x14ac:dyDescent="0.35">
      <c r="A368" t="s">
        <v>10</v>
      </c>
      <c r="B368" t="s">
        <v>16</v>
      </c>
      <c r="C368" t="s">
        <v>43</v>
      </c>
      <c r="D368" t="s">
        <v>47</v>
      </c>
      <c r="E368">
        <v>1118</v>
      </c>
      <c r="F368">
        <v>260</v>
      </c>
      <c r="G368">
        <v>20</v>
      </c>
      <c r="H368">
        <v>22360</v>
      </c>
      <c r="I368">
        <v>1565.2</v>
      </c>
      <c r="J368">
        <v>20794.8</v>
      </c>
      <c r="K368">
        <v>11180</v>
      </c>
      <c r="L368">
        <v>9614.7999999999993</v>
      </c>
      <c r="M368">
        <v>41944</v>
      </c>
      <c r="N368">
        <v>11</v>
      </c>
      <c r="O368" t="s">
        <v>31</v>
      </c>
      <c r="P368" t="s">
        <v>15</v>
      </c>
    </row>
    <row r="369" spans="1:16" x14ac:dyDescent="0.35">
      <c r="A369" t="s">
        <v>7</v>
      </c>
      <c r="B369" t="s">
        <v>17</v>
      </c>
      <c r="C369" t="s">
        <v>43</v>
      </c>
      <c r="D369" t="s">
        <v>47</v>
      </c>
      <c r="E369">
        <v>1372</v>
      </c>
      <c r="F369">
        <v>260</v>
      </c>
      <c r="G369">
        <v>300</v>
      </c>
      <c r="H369">
        <v>411600</v>
      </c>
      <c r="I369">
        <v>28812</v>
      </c>
      <c r="J369">
        <v>382788</v>
      </c>
      <c r="K369">
        <v>343000</v>
      </c>
      <c r="L369">
        <v>39788</v>
      </c>
      <c r="M369">
        <v>41974</v>
      </c>
      <c r="N369">
        <v>12</v>
      </c>
      <c r="O369" t="s">
        <v>32</v>
      </c>
      <c r="P369" t="s">
        <v>15</v>
      </c>
    </row>
    <row r="370" spans="1:16" x14ac:dyDescent="0.35">
      <c r="A370" t="s">
        <v>10</v>
      </c>
      <c r="B370" t="s">
        <v>16</v>
      </c>
      <c r="C370" t="s">
        <v>39</v>
      </c>
      <c r="D370" t="s">
        <v>47</v>
      </c>
      <c r="E370">
        <v>488</v>
      </c>
      <c r="F370">
        <v>5</v>
      </c>
      <c r="G370">
        <v>7</v>
      </c>
      <c r="H370">
        <v>3416</v>
      </c>
      <c r="I370">
        <v>273.27999999999997</v>
      </c>
      <c r="J370">
        <v>3142.7200000000003</v>
      </c>
      <c r="K370">
        <v>2440</v>
      </c>
      <c r="L370">
        <v>702.72000000000025</v>
      </c>
      <c r="M370">
        <v>41671</v>
      </c>
      <c r="N370">
        <v>2</v>
      </c>
      <c r="O370" t="s">
        <v>22</v>
      </c>
      <c r="P370" t="s">
        <v>15</v>
      </c>
    </row>
    <row r="371" spans="1:16" x14ac:dyDescent="0.35">
      <c r="A371" t="s">
        <v>10</v>
      </c>
      <c r="B371" t="s">
        <v>17</v>
      </c>
      <c r="C371" t="s">
        <v>39</v>
      </c>
      <c r="D371" t="s">
        <v>47</v>
      </c>
      <c r="E371">
        <v>1282</v>
      </c>
      <c r="F371">
        <v>5</v>
      </c>
      <c r="G371">
        <v>20</v>
      </c>
      <c r="H371">
        <v>25640</v>
      </c>
      <c r="I371">
        <v>2051.1999999999998</v>
      </c>
      <c r="J371">
        <v>23588.799999999999</v>
      </c>
      <c r="K371">
        <v>12820</v>
      </c>
      <c r="L371">
        <v>10768.8</v>
      </c>
      <c r="M371">
        <v>41791</v>
      </c>
      <c r="N371">
        <v>6</v>
      </c>
      <c r="O371" t="s">
        <v>26</v>
      </c>
      <c r="P371" t="s">
        <v>15</v>
      </c>
    </row>
    <row r="372" spans="1:16" x14ac:dyDescent="0.35">
      <c r="A372" t="s">
        <v>10</v>
      </c>
      <c r="B372" t="s">
        <v>16</v>
      </c>
      <c r="C372" t="s">
        <v>40</v>
      </c>
      <c r="D372" t="s">
        <v>47</v>
      </c>
      <c r="E372">
        <v>257</v>
      </c>
      <c r="F372">
        <v>10</v>
      </c>
      <c r="G372">
        <v>7</v>
      </c>
      <c r="H372">
        <v>1799</v>
      </c>
      <c r="I372">
        <v>143.91999999999999</v>
      </c>
      <c r="J372">
        <v>1655.08</v>
      </c>
      <c r="K372">
        <v>1285</v>
      </c>
      <c r="L372">
        <v>370.07999999999993</v>
      </c>
      <c r="M372">
        <v>41760</v>
      </c>
      <c r="N372">
        <v>5</v>
      </c>
      <c r="O372" t="s">
        <v>25</v>
      </c>
      <c r="P372" t="s">
        <v>15</v>
      </c>
    </row>
    <row r="373" spans="1:16" x14ac:dyDescent="0.35">
      <c r="A373" t="s">
        <v>10</v>
      </c>
      <c r="B373" t="s">
        <v>17</v>
      </c>
      <c r="C373" t="s">
        <v>43</v>
      </c>
      <c r="D373" t="s">
        <v>47</v>
      </c>
      <c r="E373">
        <v>1282</v>
      </c>
      <c r="F373">
        <v>260</v>
      </c>
      <c r="G373">
        <v>20</v>
      </c>
      <c r="H373">
        <v>25640</v>
      </c>
      <c r="I373">
        <v>2051.1999999999998</v>
      </c>
      <c r="J373">
        <v>23588.799999999999</v>
      </c>
      <c r="K373">
        <v>12820</v>
      </c>
      <c r="L373">
        <v>10768.8</v>
      </c>
      <c r="M373">
        <v>41791</v>
      </c>
      <c r="N373">
        <v>6</v>
      </c>
      <c r="O373" t="s">
        <v>26</v>
      </c>
      <c r="P373" t="s">
        <v>15</v>
      </c>
    </row>
    <row r="374" spans="1:16" x14ac:dyDescent="0.35">
      <c r="A374" t="s">
        <v>9</v>
      </c>
      <c r="B374" t="s">
        <v>20</v>
      </c>
      <c r="C374" t="s">
        <v>38</v>
      </c>
      <c r="D374" t="s">
        <v>47</v>
      </c>
      <c r="E374">
        <v>1540</v>
      </c>
      <c r="F374">
        <v>3</v>
      </c>
      <c r="G374">
        <v>125</v>
      </c>
      <c r="H374">
        <v>192500</v>
      </c>
      <c r="I374">
        <v>15400</v>
      </c>
      <c r="J374">
        <v>177100</v>
      </c>
      <c r="K374">
        <v>184800</v>
      </c>
      <c r="L374">
        <v>-7700</v>
      </c>
      <c r="M374">
        <v>41852</v>
      </c>
      <c r="N374">
        <v>8</v>
      </c>
      <c r="O374" t="s">
        <v>28</v>
      </c>
      <c r="P374" t="s">
        <v>15</v>
      </c>
    </row>
    <row r="375" spans="1:16" x14ac:dyDescent="0.35">
      <c r="A375" t="s">
        <v>8</v>
      </c>
      <c r="B375" t="s">
        <v>18</v>
      </c>
      <c r="C375" t="s">
        <v>38</v>
      </c>
      <c r="D375" t="s">
        <v>47</v>
      </c>
      <c r="E375">
        <v>490</v>
      </c>
      <c r="F375">
        <v>3</v>
      </c>
      <c r="G375">
        <v>15</v>
      </c>
      <c r="H375">
        <v>7350</v>
      </c>
      <c r="I375">
        <v>588</v>
      </c>
      <c r="J375">
        <v>6762</v>
      </c>
      <c r="K375">
        <v>4900</v>
      </c>
      <c r="L375">
        <v>1862</v>
      </c>
      <c r="M375">
        <v>41944</v>
      </c>
      <c r="N375">
        <v>11</v>
      </c>
      <c r="O375" t="s">
        <v>31</v>
      </c>
      <c r="P375" t="s">
        <v>15</v>
      </c>
    </row>
    <row r="376" spans="1:16" x14ac:dyDescent="0.35">
      <c r="A376" t="s">
        <v>10</v>
      </c>
      <c r="B376" t="s">
        <v>20</v>
      </c>
      <c r="C376" t="s">
        <v>38</v>
      </c>
      <c r="D376" t="s">
        <v>47</v>
      </c>
      <c r="E376">
        <v>1362</v>
      </c>
      <c r="F376">
        <v>3</v>
      </c>
      <c r="G376">
        <v>350</v>
      </c>
      <c r="H376">
        <v>476700</v>
      </c>
      <c r="I376">
        <v>38136</v>
      </c>
      <c r="J376">
        <v>438564</v>
      </c>
      <c r="K376">
        <v>354120</v>
      </c>
      <c r="L376">
        <v>84444</v>
      </c>
      <c r="M376">
        <v>41974</v>
      </c>
      <c r="N376">
        <v>12</v>
      </c>
      <c r="O376" t="s">
        <v>32</v>
      </c>
      <c r="P376" t="s">
        <v>15</v>
      </c>
    </row>
    <row r="377" spans="1:16" x14ac:dyDescent="0.35">
      <c r="A377" t="s">
        <v>8</v>
      </c>
      <c r="B377" t="s">
        <v>18</v>
      </c>
      <c r="C377" t="s">
        <v>39</v>
      </c>
      <c r="D377" t="s">
        <v>47</v>
      </c>
      <c r="E377">
        <v>2501</v>
      </c>
      <c r="F377">
        <v>5</v>
      </c>
      <c r="G377">
        <v>15</v>
      </c>
      <c r="H377">
        <v>37515</v>
      </c>
      <c r="I377">
        <v>3001.2</v>
      </c>
      <c r="J377">
        <v>34513.800000000003</v>
      </c>
      <c r="K377">
        <v>25010</v>
      </c>
      <c r="L377">
        <v>9503.8000000000029</v>
      </c>
      <c r="M377">
        <v>41699</v>
      </c>
      <c r="N377">
        <v>3</v>
      </c>
      <c r="O377" t="s">
        <v>23</v>
      </c>
      <c r="P377" t="s">
        <v>15</v>
      </c>
    </row>
    <row r="378" spans="1:16" x14ac:dyDescent="0.35">
      <c r="A378" t="s">
        <v>10</v>
      </c>
      <c r="B378" t="s">
        <v>16</v>
      </c>
      <c r="C378" t="s">
        <v>39</v>
      </c>
      <c r="D378" t="s">
        <v>47</v>
      </c>
      <c r="E378">
        <v>708</v>
      </c>
      <c r="F378">
        <v>5</v>
      </c>
      <c r="G378">
        <v>20</v>
      </c>
      <c r="H378">
        <v>14160</v>
      </c>
      <c r="I378">
        <v>1132.8</v>
      </c>
      <c r="J378">
        <v>13027.2</v>
      </c>
      <c r="K378">
        <v>7080</v>
      </c>
      <c r="L378">
        <v>5947.2000000000007</v>
      </c>
      <c r="M378">
        <v>41791</v>
      </c>
      <c r="N378">
        <v>6</v>
      </c>
      <c r="O378" t="s">
        <v>26</v>
      </c>
      <c r="P378" t="s">
        <v>15</v>
      </c>
    </row>
    <row r="379" spans="1:16" x14ac:dyDescent="0.35">
      <c r="A379" t="s">
        <v>10</v>
      </c>
      <c r="B379" t="s">
        <v>19</v>
      </c>
      <c r="C379" t="s">
        <v>39</v>
      </c>
      <c r="D379" t="s">
        <v>47</v>
      </c>
      <c r="E379">
        <v>645</v>
      </c>
      <c r="F379">
        <v>5</v>
      </c>
      <c r="G379">
        <v>20</v>
      </c>
      <c r="H379">
        <v>12900</v>
      </c>
      <c r="I379">
        <v>1032</v>
      </c>
      <c r="J379">
        <v>11868</v>
      </c>
      <c r="K379">
        <v>6450</v>
      </c>
      <c r="L379">
        <v>5418</v>
      </c>
      <c r="M379">
        <v>41821</v>
      </c>
      <c r="N379">
        <v>7</v>
      </c>
      <c r="O379" t="s">
        <v>27</v>
      </c>
      <c r="P379" t="s">
        <v>15</v>
      </c>
    </row>
    <row r="380" spans="1:16" x14ac:dyDescent="0.35">
      <c r="A380" t="s">
        <v>7</v>
      </c>
      <c r="B380" t="s">
        <v>18</v>
      </c>
      <c r="C380" t="s">
        <v>39</v>
      </c>
      <c r="D380" t="s">
        <v>47</v>
      </c>
      <c r="E380">
        <v>1562</v>
      </c>
      <c r="F380">
        <v>5</v>
      </c>
      <c r="G380">
        <v>300</v>
      </c>
      <c r="H380">
        <v>468600</v>
      </c>
      <c r="I380">
        <v>37488</v>
      </c>
      <c r="J380">
        <v>431112</v>
      </c>
      <c r="K380">
        <v>390500</v>
      </c>
      <c r="L380">
        <v>40612</v>
      </c>
      <c r="M380">
        <v>41852</v>
      </c>
      <c r="N380">
        <v>8</v>
      </c>
      <c r="O380" t="s">
        <v>28</v>
      </c>
      <c r="P380" t="s">
        <v>15</v>
      </c>
    </row>
    <row r="381" spans="1:16" x14ac:dyDescent="0.35">
      <c r="A381" t="s">
        <v>7</v>
      </c>
      <c r="B381" t="s">
        <v>16</v>
      </c>
      <c r="C381" t="s">
        <v>39</v>
      </c>
      <c r="D381" t="s">
        <v>47</v>
      </c>
      <c r="E381">
        <v>1283</v>
      </c>
      <c r="F381">
        <v>5</v>
      </c>
      <c r="G381">
        <v>300</v>
      </c>
      <c r="H381">
        <v>384900</v>
      </c>
      <c r="I381">
        <v>30792</v>
      </c>
      <c r="J381">
        <v>354108</v>
      </c>
      <c r="K381">
        <v>320750</v>
      </c>
      <c r="L381">
        <v>33358</v>
      </c>
      <c r="M381">
        <v>41518</v>
      </c>
      <c r="N381">
        <v>9</v>
      </c>
      <c r="O381" t="s">
        <v>29</v>
      </c>
      <c r="P381" t="s">
        <v>14</v>
      </c>
    </row>
    <row r="382" spans="1:16" x14ac:dyDescent="0.35">
      <c r="A382" t="s">
        <v>8</v>
      </c>
      <c r="B382" t="s">
        <v>19</v>
      </c>
      <c r="C382" t="s">
        <v>39</v>
      </c>
      <c r="D382" t="s">
        <v>47</v>
      </c>
      <c r="E382">
        <v>711</v>
      </c>
      <c r="F382">
        <v>5</v>
      </c>
      <c r="G382">
        <v>15</v>
      </c>
      <c r="H382">
        <v>10665</v>
      </c>
      <c r="I382">
        <v>853.2</v>
      </c>
      <c r="J382">
        <v>9811.7999999999993</v>
      </c>
      <c r="K382">
        <v>7110</v>
      </c>
      <c r="L382">
        <v>2701.7999999999993</v>
      </c>
      <c r="M382">
        <v>41974</v>
      </c>
      <c r="N382">
        <v>12</v>
      </c>
      <c r="O382" t="s">
        <v>32</v>
      </c>
      <c r="P382" t="s">
        <v>15</v>
      </c>
    </row>
    <row r="383" spans="1:16" x14ac:dyDescent="0.35">
      <c r="A383" t="s">
        <v>9</v>
      </c>
      <c r="B383" t="s">
        <v>20</v>
      </c>
      <c r="C383" t="s">
        <v>40</v>
      </c>
      <c r="D383" t="s">
        <v>47</v>
      </c>
      <c r="E383">
        <v>1114</v>
      </c>
      <c r="F383">
        <v>10</v>
      </c>
      <c r="G383">
        <v>125</v>
      </c>
      <c r="H383">
        <v>139250</v>
      </c>
      <c r="I383">
        <v>11140</v>
      </c>
      <c r="J383">
        <v>128110</v>
      </c>
      <c r="K383">
        <v>133680</v>
      </c>
      <c r="L383">
        <v>-5570</v>
      </c>
      <c r="M383">
        <v>41699</v>
      </c>
      <c r="N383">
        <v>3</v>
      </c>
      <c r="O383" t="s">
        <v>23</v>
      </c>
      <c r="P383" t="s">
        <v>15</v>
      </c>
    </row>
    <row r="384" spans="1:16" x14ac:dyDescent="0.35">
      <c r="A384" t="s">
        <v>10</v>
      </c>
      <c r="B384" t="s">
        <v>19</v>
      </c>
      <c r="C384" t="s">
        <v>40</v>
      </c>
      <c r="D384" t="s">
        <v>47</v>
      </c>
      <c r="E384">
        <v>1259</v>
      </c>
      <c r="F384">
        <v>10</v>
      </c>
      <c r="G384">
        <v>7</v>
      </c>
      <c r="H384">
        <v>8813</v>
      </c>
      <c r="I384">
        <v>705.04</v>
      </c>
      <c r="J384">
        <v>8107.96</v>
      </c>
      <c r="K384">
        <v>6295</v>
      </c>
      <c r="L384">
        <v>1812.96</v>
      </c>
      <c r="M384">
        <v>41730</v>
      </c>
      <c r="N384">
        <v>4</v>
      </c>
      <c r="O384" t="s">
        <v>24</v>
      </c>
      <c r="P384" t="s">
        <v>15</v>
      </c>
    </row>
    <row r="385" spans="1:16" x14ac:dyDescent="0.35">
      <c r="A385" t="s">
        <v>10</v>
      </c>
      <c r="B385" t="s">
        <v>19</v>
      </c>
      <c r="C385" t="s">
        <v>40</v>
      </c>
      <c r="D385" t="s">
        <v>47</v>
      </c>
      <c r="E385">
        <v>1095</v>
      </c>
      <c r="F385">
        <v>10</v>
      </c>
      <c r="G385">
        <v>7</v>
      </c>
      <c r="H385">
        <v>7665</v>
      </c>
      <c r="I385">
        <v>613.20000000000005</v>
      </c>
      <c r="J385">
        <v>7051.8</v>
      </c>
      <c r="K385">
        <v>5475</v>
      </c>
      <c r="L385">
        <v>1576.8000000000002</v>
      </c>
      <c r="M385">
        <v>41760</v>
      </c>
      <c r="N385">
        <v>5</v>
      </c>
      <c r="O385" t="s">
        <v>25</v>
      </c>
      <c r="P385" t="s">
        <v>15</v>
      </c>
    </row>
    <row r="386" spans="1:16" x14ac:dyDescent="0.35">
      <c r="A386" t="s">
        <v>10</v>
      </c>
      <c r="B386" t="s">
        <v>19</v>
      </c>
      <c r="C386" t="s">
        <v>40</v>
      </c>
      <c r="D386" t="s">
        <v>47</v>
      </c>
      <c r="E386">
        <v>1366</v>
      </c>
      <c r="F386">
        <v>10</v>
      </c>
      <c r="G386">
        <v>20</v>
      </c>
      <c r="H386">
        <v>27320</v>
      </c>
      <c r="I386">
        <v>2185.6</v>
      </c>
      <c r="J386">
        <v>25134.400000000001</v>
      </c>
      <c r="K386">
        <v>13660</v>
      </c>
      <c r="L386">
        <v>11474.400000000001</v>
      </c>
      <c r="M386">
        <v>41791</v>
      </c>
      <c r="N386">
        <v>6</v>
      </c>
      <c r="O386" t="s">
        <v>26</v>
      </c>
      <c r="P386" t="s">
        <v>15</v>
      </c>
    </row>
    <row r="387" spans="1:16" x14ac:dyDescent="0.35">
      <c r="A387" t="s">
        <v>7</v>
      </c>
      <c r="B387" t="s">
        <v>20</v>
      </c>
      <c r="C387" t="s">
        <v>40</v>
      </c>
      <c r="D387" t="s">
        <v>47</v>
      </c>
      <c r="E387">
        <v>2460</v>
      </c>
      <c r="F387">
        <v>10</v>
      </c>
      <c r="G387">
        <v>300</v>
      </c>
      <c r="H387">
        <v>738000</v>
      </c>
      <c r="I387">
        <v>59040</v>
      </c>
      <c r="J387">
        <v>678960</v>
      </c>
      <c r="K387">
        <v>615000</v>
      </c>
      <c r="L387">
        <v>63960</v>
      </c>
      <c r="M387">
        <v>41791</v>
      </c>
      <c r="N387">
        <v>6</v>
      </c>
      <c r="O387" t="s">
        <v>26</v>
      </c>
      <c r="P387" t="s">
        <v>15</v>
      </c>
    </row>
    <row r="388" spans="1:16" x14ac:dyDescent="0.35">
      <c r="A388" t="s">
        <v>10</v>
      </c>
      <c r="B388" t="s">
        <v>17</v>
      </c>
      <c r="C388" t="s">
        <v>40</v>
      </c>
      <c r="D388" t="s">
        <v>47</v>
      </c>
      <c r="E388">
        <v>678</v>
      </c>
      <c r="F388">
        <v>10</v>
      </c>
      <c r="G388">
        <v>7</v>
      </c>
      <c r="H388">
        <v>4746</v>
      </c>
      <c r="I388">
        <v>379.68</v>
      </c>
      <c r="J388">
        <v>4366.32</v>
      </c>
      <c r="K388">
        <v>3390</v>
      </c>
      <c r="L388">
        <v>976.31999999999971</v>
      </c>
      <c r="M388">
        <v>41852</v>
      </c>
      <c r="N388">
        <v>8</v>
      </c>
      <c r="O388" t="s">
        <v>28</v>
      </c>
      <c r="P388" t="s">
        <v>15</v>
      </c>
    </row>
    <row r="389" spans="1:16" x14ac:dyDescent="0.35">
      <c r="A389" t="s">
        <v>10</v>
      </c>
      <c r="B389" t="s">
        <v>19</v>
      </c>
      <c r="C389" t="s">
        <v>40</v>
      </c>
      <c r="D389" t="s">
        <v>47</v>
      </c>
      <c r="E389">
        <v>1598</v>
      </c>
      <c r="F389">
        <v>10</v>
      </c>
      <c r="G389">
        <v>7</v>
      </c>
      <c r="H389">
        <v>11186</v>
      </c>
      <c r="I389">
        <v>894.88</v>
      </c>
      <c r="J389">
        <v>10291.120000000001</v>
      </c>
      <c r="K389">
        <v>7990</v>
      </c>
      <c r="L389">
        <v>2301.1200000000008</v>
      </c>
      <c r="M389">
        <v>41852</v>
      </c>
      <c r="N389">
        <v>8</v>
      </c>
      <c r="O389" t="s">
        <v>28</v>
      </c>
      <c r="P389" t="s">
        <v>15</v>
      </c>
    </row>
    <row r="390" spans="1:16" x14ac:dyDescent="0.35">
      <c r="A390" t="s">
        <v>10</v>
      </c>
      <c r="B390" t="s">
        <v>19</v>
      </c>
      <c r="C390" t="s">
        <v>40</v>
      </c>
      <c r="D390" t="s">
        <v>47</v>
      </c>
      <c r="E390">
        <v>2409</v>
      </c>
      <c r="F390">
        <v>10</v>
      </c>
      <c r="G390">
        <v>7</v>
      </c>
      <c r="H390">
        <v>16863</v>
      </c>
      <c r="I390">
        <v>1349.04</v>
      </c>
      <c r="J390">
        <v>15513.96</v>
      </c>
      <c r="K390">
        <v>12045</v>
      </c>
      <c r="L390">
        <v>3468.9599999999991</v>
      </c>
      <c r="M390">
        <v>41518</v>
      </c>
      <c r="N390">
        <v>9</v>
      </c>
      <c r="O390" t="s">
        <v>29</v>
      </c>
      <c r="P390" t="s">
        <v>14</v>
      </c>
    </row>
    <row r="391" spans="1:16" x14ac:dyDescent="0.35">
      <c r="A391" t="s">
        <v>10</v>
      </c>
      <c r="B391" t="s">
        <v>19</v>
      </c>
      <c r="C391" t="s">
        <v>40</v>
      </c>
      <c r="D391" t="s">
        <v>47</v>
      </c>
      <c r="E391">
        <v>1934</v>
      </c>
      <c r="F391">
        <v>10</v>
      </c>
      <c r="G391">
        <v>20</v>
      </c>
      <c r="H391">
        <v>38680</v>
      </c>
      <c r="I391">
        <v>3094.4</v>
      </c>
      <c r="J391">
        <v>35585.599999999999</v>
      </c>
      <c r="K391">
        <v>19340</v>
      </c>
      <c r="L391">
        <v>16245.599999999999</v>
      </c>
      <c r="M391">
        <v>41883</v>
      </c>
      <c r="N391">
        <v>9</v>
      </c>
      <c r="O391" t="s">
        <v>29</v>
      </c>
      <c r="P391" t="s">
        <v>15</v>
      </c>
    </row>
    <row r="392" spans="1:16" x14ac:dyDescent="0.35">
      <c r="A392" t="s">
        <v>10</v>
      </c>
      <c r="B392" t="s">
        <v>20</v>
      </c>
      <c r="C392" t="s">
        <v>40</v>
      </c>
      <c r="D392" t="s">
        <v>47</v>
      </c>
      <c r="E392">
        <v>2993</v>
      </c>
      <c r="F392">
        <v>10</v>
      </c>
      <c r="G392">
        <v>20</v>
      </c>
      <c r="H392">
        <v>59860</v>
      </c>
      <c r="I392">
        <v>4788.8</v>
      </c>
      <c r="J392">
        <v>55071.199999999997</v>
      </c>
      <c r="K392">
        <v>29930</v>
      </c>
      <c r="L392">
        <v>25141.199999999997</v>
      </c>
      <c r="M392">
        <v>41883</v>
      </c>
      <c r="N392">
        <v>9</v>
      </c>
      <c r="O392" t="s">
        <v>29</v>
      </c>
      <c r="P392" t="s">
        <v>15</v>
      </c>
    </row>
    <row r="393" spans="1:16" x14ac:dyDescent="0.35">
      <c r="A393" t="s">
        <v>10</v>
      </c>
      <c r="B393" t="s">
        <v>19</v>
      </c>
      <c r="C393" t="s">
        <v>40</v>
      </c>
      <c r="D393" t="s">
        <v>47</v>
      </c>
      <c r="E393">
        <v>2146</v>
      </c>
      <c r="F393">
        <v>10</v>
      </c>
      <c r="G393">
        <v>350</v>
      </c>
      <c r="H393">
        <v>751100</v>
      </c>
      <c r="I393">
        <v>60088</v>
      </c>
      <c r="J393">
        <v>691012</v>
      </c>
      <c r="K393">
        <v>557960</v>
      </c>
      <c r="L393">
        <v>133052</v>
      </c>
      <c r="M393">
        <v>41579</v>
      </c>
      <c r="N393">
        <v>11</v>
      </c>
      <c r="O393" t="s">
        <v>31</v>
      </c>
      <c r="P393" t="s">
        <v>14</v>
      </c>
    </row>
    <row r="394" spans="1:16" x14ac:dyDescent="0.35">
      <c r="A394" t="s">
        <v>10</v>
      </c>
      <c r="B394" t="s">
        <v>20</v>
      </c>
      <c r="C394" t="s">
        <v>40</v>
      </c>
      <c r="D394" t="s">
        <v>47</v>
      </c>
      <c r="E394">
        <v>1946</v>
      </c>
      <c r="F394">
        <v>10</v>
      </c>
      <c r="G394">
        <v>7</v>
      </c>
      <c r="H394">
        <v>13622</v>
      </c>
      <c r="I394">
        <v>1089.76</v>
      </c>
      <c r="J394">
        <v>12532.24</v>
      </c>
      <c r="K394">
        <v>9730</v>
      </c>
      <c r="L394">
        <v>2802.24</v>
      </c>
      <c r="M394">
        <v>41609</v>
      </c>
      <c r="N394">
        <v>12</v>
      </c>
      <c r="O394" t="s">
        <v>32</v>
      </c>
      <c r="P394" t="s">
        <v>14</v>
      </c>
    </row>
    <row r="395" spans="1:16" x14ac:dyDescent="0.35">
      <c r="A395" t="s">
        <v>10</v>
      </c>
      <c r="B395" t="s">
        <v>20</v>
      </c>
      <c r="C395" t="s">
        <v>40</v>
      </c>
      <c r="D395" t="s">
        <v>47</v>
      </c>
      <c r="E395">
        <v>1362</v>
      </c>
      <c r="F395">
        <v>10</v>
      </c>
      <c r="G395">
        <v>350</v>
      </c>
      <c r="H395">
        <v>476700</v>
      </c>
      <c r="I395">
        <v>38136</v>
      </c>
      <c r="J395">
        <v>438564</v>
      </c>
      <c r="K395">
        <v>354120</v>
      </c>
      <c r="L395">
        <v>84444</v>
      </c>
      <c r="M395">
        <v>41974</v>
      </c>
      <c r="N395">
        <v>12</v>
      </c>
      <c r="O395" t="s">
        <v>32</v>
      </c>
      <c r="P395" t="s">
        <v>15</v>
      </c>
    </row>
    <row r="396" spans="1:16" x14ac:dyDescent="0.35">
      <c r="A396" t="s">
        <v>11</v>
      </c>
      <c r="B396" t="s">
        <v>16</v>
      </c>
      <c r="C396" t="s">
        <v>41</v>
      </c>
      <c r="D396" t="s">
        <v>47</v>
      </c>
      <c r="E396">
        <v>598</v>
      </c>
      <c r="F396">
        <v>120</v>
      </c>
      <c r="G396">
        <v>12</v>
      </c>
      <c r="H396">
        <v>7176</v>
      </c>
      <c r="I396">
        <v>574.08000000000004</v>
      </c>
      <c r="J396">
        <v>6601.92</v>
      </c>
      <c r="K396">
        <v>1794</v>
      </c>
      <c r="L396">
        <v>4807.92</v>
      </c>
      <c r="M396">
        <v>41699</v>
      </c>
      <c r="N396">
        <v>3</v>
      </c>
      <c r="O396" t="s">
        <v>23</v>
      </c>
      <c r="P396" t="s">
        <v>15</v>
      </c>
    </row>
    <row r="397" spans="1:16" x14ac:dyDescent="0.35">
      <c r="A397" t="s">
        <v>10</v>
      </c>
      <c r="B397" t="s">
        <v>17</v>
      </c>
      <c r="C397" t="s">
        <v>41</v>
      </c>
      <c r="D397" t="s">
        <v>47</v>
      </c>
      <c r="E397">
        <v>2907</v>
      </c>
      <c r="F397">
        <v>120</v>
      </c>
      <c r="G397">
        <v>7</v>
      </c>
      <c r="H397">
        <v>20349</v>
      </c>
      <c r="I397">
        <v>1627.92</v>
      </c>
      <c r="J397">
        <v>18721.080000000002</v>
      </c>
      <c r="K397">
        <v>14535</v>
      </c>
      <c r="L397">
        <v>4186.0800000000017</v>
      </c>
      <c r="M397">
        <v>41791</v>
      </c>
      <c r="N397">
        <v>6</v>
      </c>
      <c r="O397" t="s">
        <v>26</v>
      </c>
      <c r="P397" t="s">
        <v>15</v>
      </c>
    </row>
    <row r="398" spans="1:16" x14ac:dyDescent="0.35">
      <c r="A398" t="s">
        <v>10</v>
      </c>
      <c r="B398" t="s">
        <v>19</v>
      </c>
      <c r="C398" t="s">
        <v>41</v>
      </c>
      <c r="D398" t="s">
        <v>47</v>
      </c>
      <c r="E398">
        <v>2338</v>
      </c>
      <c r="F398">
        <v>120</v>
      </c>
      <c r="G398">
        <v>7</v>
      </c>
      <c r="H398">
        <v>16366</v>
      </c>
      <c r="I398">
        <v>1309.28</v>
      </c>
      <c r="J398">
        <v>15056.72</v>
      </c>
      <c r="K398">
        <v>11690</v>
      </c>
      <c r="L398">
        <v>3366.7199999999993</v>
      </c>
      <c r="M398">
        <v>41791</v>
      </c>
      <c r="N398">
        <v>6</v>
      </c>
      <c r="O398" t="s">
        <v>26</v>
      </c>
      <c r="P398" t="s">
        <v>15</v>
      </c>
    </row>
    <row r="399" spans="1:16" x14ac:dyDescent="0.35">
      <c r="A399" t="s">
        <v>7</v>
      </c>
      <c r="B399" t="s">
        <v>18</v>
      </c>
      <c r="C399" t="s">
        <v>41</v>
      </c>
      <c r="D399" t="s">
        <v>47</v>
      </c>
      <c r="E399">
        <v>386</v>
      </c>
      <c r="F399">
        <v>120</v>
      </c>
      <c r="G399">
        <v>300</v>
      </c>
      <c r="H399">
        <v>115800</v>
      </c>
      <c r="I399">
        <v>9264</v>
      </c>
      <c r="J399">
        <v>106536</v>
      </c>
      <c r="K399">
        <v>96500</v>
      </c>
      <c r="L399">
        <v>10036</v>
      </c>
      <c r="M399">
        <v>41579</v>
      </c>
      <c r="N399">
        <v>11</v>
      </c>
      <c r="O399" t="s">
        <v>31</v>
      </c>
      <c r="P399" t="s">
        <v>14</v>
      </c>
    </row>
    <row r="400" spans="1:16" x14ac:dyDescent="0.35">
      <c r="A400" t="s">
        <v>7</v>
      </c>
      <c r="B400" t="s">
        <v>20</v>
      </c>
      <c r="C400" t="s">
        <v>41</v>
      </c>
      <c r="D400" t="s">
        <v>47</v>
      </c>
      <c r="E400">
        <v>635</v>
      </c>
      <c r="F400">
        <v>120</v>
      </c>
      <c r="G400">
        <v>300</v>
      </c>
      <c r="H400">
        <v>190500</v>
      </c>
      <c r="I400">
        <v>15240</v>
      </c>
      <c r="J400">
        <v>175260</v>
      </c>
      <c r="K400">
        <v>158750</v>
      </c>
      <c r="L400">
        <v>16510</v>
      </c>
      <c r="M400">
        <v>41974</v>
      </c>
      <c r="N400">
        <v>12</v>
      </c>
      <c r="O400" t="s">
        <v>32</v>
      </c>
      <c r="P400" t="s">
        <v>15</v>
      </c>
    </row>
    <row r="401" spans="1:16" x14ac:dyDescent="0.35">
      <c r="A401" t="s">
        <v>10</v>
      </c>
      <c r="B401" t="s">
        <v>18</v>
      </c>
      <c r="C401" t="s">
        <v>42</v>
      </c>
      <c r="D401" t="s">
        <v>47</v>
      </c>
      <c r="E401">
        <v>574.5</v>
      </c>
      <c r="F401">
        <v>250</v>
      </c>
      <c r="G401">
        <v>350</v>
      </c>
      <c r="H401">
        <v>201075</v>
      </c>
      <c r="I401">
        <v>16086</v>
      </c>
      <c r="J401">
        <v>184989</v>
      </c>
      <c r="K401">
        <v>149370</v>
      </c>
      <c r="L401">
        <v>35619</v>
      </c>
      <c r="M401">
        <v>41730</v>
      </c>
      <c r="N401">
        <v>4</v>
      </c>
      <c r="O401" t="s">
        <v>24</v>
      </c>
      <c r="P401" t="s">
        <v>15</v>
      </c>
    </row>
    <row r="402" spans="1:16" x14ac:dyDescent="0.35">
      <c r="A402" t="s">
        <v>10</v>
      </c>
      <c r="B402" t="s">
        <v>19</v>
      </c>
      <c r="C402" t="s">
        <v>42</v>
      </c>
      <c r="D402" t="s">
        <v>47</v>
      </c>
      <c r="E402">
        <v>2338</v>
      </c>
      <c r="F402">
        <v>250</v>
      </c>
      <c r="G402">
        <v>7</v>
      </c>
      <c r="H402">
        <v>16366</v>
      </c>
      <c r="I402">
        <v>1309.28</v>
      </c>
      <c r="J402">
        <v>15056.72</v>
      </c>
      <c r="K402">
        <v>11690</v>
      </c>
      <c r="L402">
        <v>3366.7199999999993</v>
      </c>
      <c r="M402">
        <v>41791</v>
      </c>
      <c r="N402">
        <v>6</v>
      </c>
      <c r="O402" t="s">
        <v>26</v>
      </c>
      <c r="P402" t="s">
        <v>15</v>
      </c>
    </row>
    <row r="403" spans="1:16" x14ac:dyDescent="0.35">
      <c r="A403" t="s">
        <v>10</v>
      </c>
      <c r="B403" t="s">
        <v>18</v>
      </c>
      <c r="C403" t="s">
        <v>42</v>
      </c>
      <c r="D403" t="s">
        <v>47</v>
      </c>
      <c r="E403">
        <v>381</v>
      </c>
      <c r="F403">
        <v>250</v>
      </c>
      <c r="G403">
        <v>350</v>
      </c>
      <c r="H403">
        <v>133350</v>
      </c>
      <c r="I403">
        <v>10668</v>
      </c>
      <c r="J403">
        <v>122682</v>
      </c>
      <c r="K403">
        <v>99060</v>
      </c>
      <c r="L403">
        <v>23622</v>
      </c>
      <c r="M403">
        <v>41852</v>
      </c>
      <c r="N403">
        <v>8</v>
      </c>
      <c r="O403" t="s">
        <v>28</v>
      </c>
      <c r="P403" t="s">
        <v>15</v>
      </c>
    </row>
    <row r="404" spans="1:16" x14ac:dyDescent="0.35">
      <c r="A404" t="s">
        <v>10</v>
      </c>
      <c r="B404" t="s">
        <v>19</v>
      </c>
      <c r="C404" t="s">
        <v>42</v>
      </c>
      <c r="D404" t="s">
        <v>47</v>
      </c>
      <c r="E404">
        <v>422</v>
      </c>
      <c r="F404">
        <v>250</v>
      </c>
      <c r="G404">
        <v>350</v>
      </c>
      <c r="H404">
        <v>147700</v>
      </c>
      <c r="I404">
        <v>11816</v>
      </c>
      <c r="J404">
        <v>135884</v>
      </c>
      <c r="K404">
        <v>109720</v>
      </c>
      <c r="L404">
        <v>26164</v>
      </c>
      <c r="M404">
        <v>41852</v>
      </c>
      <c r="N404">
        <v>8</v>
      </c>
      <c r="O404" t="s">
        <v>28</v>
      </c>
      <c r="P404" t="s">
        <v>15</v>
      </c>
    </row>
    <row r="405" spans="1:16" x14ac:dyDescent="0.35">
      <c r="A405" t="s">
        <v>7</v>
      </c>
      <c r="B405" t="s">
        <v>16</v>
      </c>
      <c r="C405" t="s">
        <v>42</v>
      </c>
      <c r="D405" t="s">
        <v>47</v>
      </c>
      <c r="E405">
        <v>2134</v>
      </c>
      <c r="F405">
        <v>250</v>
      </c>
      <c r="G405">
        <v>300</v>
      </c>
      <c r="H405">
        <v>640200</v>
      </c>
      <c r="I405">
        <v>51216</v>
      </c>
      <c r="J405">
        <v>588984</v>
      </c>
      <c r="K405">
        <v>533500</v>
      </c>
      <c r="L405">
        <v>55484</v>
      </c>
      <c r="M405">
        <v>41883</v>
      </c>
      <c r="N405">
        <v>9</v>
      </c>
      <c r="O405" t="s">
        <v>29</v>
      </c>
      <c r="P405" t="s">
        <v>15</v>
      </c>
    </row>
    <row r="406" spans="1:16" x14ac:dyDescent="0.35">
      <c r="A406" t="s">
        <v>7</v>
      </c>
      <c r="B406" t="s">
        <v>17</v>
      </c>
      <c r="C406" t="s">
        <v>42</v>
      </c>
      <c r="D406" t="s">
        <v>47</v>
      </c>
      <c r="E406">
        <v>808</v>
      </c>
      <c r="F406">
        <v>250</v>
      </c>
      <c r="G406">
        <v>300</v>
      </c>
      <c r="H406">
        <v>242400</v>
      </c>
      <c r="I406">
        <v>19392</v>
      </c>
      <c r="J406">
        <v>223008</v>
      </c>
      <c r="K406">
        <v>202000</v>
      </c>
      <c r="L406">
        <v>21008</v>
      </c>
      <c r="M406">
        <v>41609</v>
      </c>
      <c r="N406">
        <v>12</v>
      </c>
      <c r="O406" t="s">
        <v>32</v>
      </c>
      <c r="P406" t="s">
        <v>14</v>
      </c>
    </row>
    <row r="407" spans="1:16" x14ac:dyDescent="0.35">
      <c r="A407" t="s">
        <v>10</v>
      </c>
      <c r="B407" t="s">
        <v>16</v>
      </c>
      <c r="C407" t="s">
        <v>43</v>
      </c>
      <c r="D407" t="s">
        <v>47</v>
      </c>
      <c r="E407">
        <v>708</v>
      </c>
      <c r="F407">
        <v>260</v>
      </c>
      <c r="G407">
        <v>20</v>
      </c>
      <c r="H407">
        <v>14160</v>
      </c>
      <c r="I407">
        <v>1132.8</v>
      </c>
      <c r="J407">
        <v>13027.2</v>
      </c>
      <c r="K407">
        <v>7080</v>
      </c>
      <c r="L407">
        <v>5947.2000000000007</v>
      </c>
      <c r="M407">
        <v>41791</v>
      </c>
      <c r="N407">
        <v>6</v>
      </c>
      <c r="O407" t="s">
        <v>26</v>
      </c>
      <c r="P407" t="s">
        <v>15</v>
      </c>
    </row>
    <row r="408" spans="1:16" x14ac:dyDescent="0.35">
      <c r="A408" t="s">
        <v>10</v>
      </c>
      <c r="B408" t="s">
        <v>17</v>
      </c>
      <c r="C408" t="s">
        <v>43</v>
      </c>
      <c r="D408" t="s">
        <v>47</v>
      </c>
      <c r="E408">
        <v>2907</v>
      </c>
      <c r="F408">
        <v>260</v>
      </c>
      <c r="G408">
        <v>7</v>
      </c>
      <c r="H408">
        <v>20349</v>
      </c>
      <c r="I408">
        <v>1627.92</v>
      </c>
      <c r="J408">
        <v>18721.080000000002</v>
      </c>
      <c r="K408">
        <v>14535</v>
      </c>
      <c r="L408">
        <v>4186.0800000000017</v>
      </c>
      <c r="M408">
        <v>41791</v>
      </c>
      <c r="N408">
        <v>6</v>
      </c>
      <c r="O408" t="s">
        <v>26</v>
      </c>
      <c r="P408" t="s">
        <v>15</v>
      </c>
    </row>
    <row r="409" spans="1:16" x14ac:dyDescent="0.35">
      <c r="A409" t="s">
        <v>10</v>
      </c>
      <c r="B409" t="s">
        <v>19</v>
      </c>
      <c r="C409" t="s">
        <v>43</v>
      </c>
      <c r="D409" t="s">
        <v>47</v>
      </c>
      <c r="E409">
        <v>1366</v>
      </c>
      <c r="F409">
        <v>260</v>
      </c>
      <c r="G409">
        <v>20</v>
      </c>
      <c r="H409">
        <v>27320</v>
      </c>
      <c r="I409">
        <v>2185.6</v>
      </c>
      <c r="J409">
        <v>25134.400000000001</v>
      </c>
      <c r="K409">
        <v>13660</v>
      </c>
      <c r="L409">
        <v>11474.400000000001</v>
      </c>
      <c r="M409">
        <v>41791</v>
      </c>
      <c r="N409">
        <v>6</v>
      </c>
      <c r="O409" t="s">
        <v>26</v>
      </c>
      <c r="P409" t="s">
        <v>15</v>
      </c>
    </row>
    <row r="410" spans="1:16" x14ac:dyDescent="0.35">
      <c r="A410" t="s">
        <v>7</v>
      </c>
      <c r="B410" t="s">
        <v>20</v>
      </c>
      <c r="C410" t="s">
        <v>43</v>
      </c>
      <c r="D410" t="s">
        <v>47</v>
      </c>
      <c r="E410">
        <v>2460</v>
      </c>
      <c r="F410">
        <v>260</v>
      </c>
      <c r="G410">
        <v>300</v>
      </c>
      <c r="H410">
        <v>738000</v>
      </c>
      <c r="I410">
        <v>59040</v>
      </c>
      <c r="J410">
        <v>678960</v>
      </c>
      <c r="K410">
        <v>615000</v>
      </c>
      <c r="L410">
        <v>63960</v>
      </c>
      <c r="M410">
        <v>41791</v>
      </c>
      <c r="N410">
        <v>6</v>
      </c>
      <c r="O410" t="s">
        <v>26</v>
      </c>
      <c r="P410" t="s">
        <v>15</v>
      </c>
    </row>
    <row r="411" spans="1:16" x14ac:dyDescent="0.35">
      <c r="A411" t="s">
        <v>10</v>
      </c>
      <c r="B411" t="s">
        <v>19</v>
      </c>
      <c r="C411" t="s">
        <v>43</v>
      </c>
      <c r="D411" t="s">
        <v>47</v>
      </c>
      <c r="E411">
        <v>1520</v>
      </c>
      <c r="F411">
        <v>260</v>
      </c>
      <c r="G411">
        <v>20</v>
      </c>
      <c r="H411">
        <v>30400</v>
      </c>
      <c r="I411">
        <v>2432</v>
      </c>
      <c r="J411">
        <v>27968</v>
      </c>
      <c r="K411">
        <v>15200</v>
      </c>
      <c r="L411">
        <v>12768</v>
      </c>
      <c r="M411">
        <v>41944</v>
      </c>
      <c r="N411">
        <v>11</v>
      </c>
      <c r="O411" t="s">
        <v>31</v>
      </c>
      <c r="P411" t="s">
        <v>15</v>
      </c>
    </row>
    <row r="412" spans="1:16" x14ac:dyDescent="0.35">
      <c r="A412" t="s">
        <v>8</v>
      </c>
      <c r="B412" t="s">
        <v>19</v>
      </c>
      <c r="C412" t="s">
        <v>43</v>
      </c>
      <c r="D412" t="s">
        <v>47</v>
      </c>
      <c r="E412">
        <v>711</v>
      </c>
      <c r="F412">
        <v>260</v>
      </c>
      <c r="G412">
        <v>15</v>
      </c>
      <c r="H412">
        <v>10665</v>
      </c>
      <c r="I412">
        <v>853.2</v>
      </c>
      <c r="J412">
        <v>9811.7999999999993</v>
      </c>
      <c r="K412">
        <v>7110</v>
      </c>
      <c r="L412">
        <v>2701.7999999999993</v>
      </c>
      <c r="M412">
        <v>41974</v>
      </c>
      <c r="N412">
        <v>12</v>
      </c>
      <c r="O412" t="s">
        <v>32</v>
      </c>
      <c r="P412" t="s">
        <v>15</v>
      </c>
    </row>
    <row r="413" spans="1:16" x14ac:dyDescent="0.35">
      <c r="A413" t="s">
        <v>11</v>
      </c>
      <c r="B413" t="s">
        <v>20</v>
      </c>
      <c r="C413" t="s">
        <v>43</v>
      </c>
      <c r="D413" t="s">
        <v>47</v>
      </c>
      <c r="E413">
        <v>1375</v>
      </c>
      <c r="F413">
        <v>260</v>
      </c>
      <c r="G413">
        <v>12</v>
      </c>
      <c r="H413">
        <v>16500</v>
      </c>
      <c r="I413">
        <v>1320</v>
      </c>
      <c r="J413">
        <v>15180</v>
      </c>
      <c r="K413">
        <v>4125</v>
      </c>
      <c r="L413">
        <v>11055</v>
      </c>
      <c r="M413">
        <v>41609</v>
      </c>
      <c r="N413">
        <v>12</v>
      </c>
      <c r="O413" t="s">
        <v>32</v>
      </c>
      <c r="P413" t="s">
        <v>14</v>
      </c>
    </row>
    <row r="414" spans="1:16" x14ac:dyDescent="0.35">
      <c r="A414" t="s">
        <v>7</v>
      </c>
      <c r="B414" t="s">
        <v>20</v>
      </c>
      <c r="C414" t="s">
        <v>43</v>
      </c>
      <c r="D414" t="s">
        <v>47</v>
      </c>
      <c r="E414">
        <v>635</v>
      </c>
      <c r="F414">
        <v>260</v>
      </c>
      <c r="G414">
        <v>300</v>
      </c>
      <c r="H414">
        <v>190500</v>
      </c>
      <c r="I414">
        <v>15240</v>
      </c>
      <c r="J414">
        <v>175260</v>
      </c>
      <c r="K414">
        <v>158750</v>
      </c>
      <c r="L414">
        <v>16510</v>
      </c>
      <c r="M414">
        <v>41974</v>
      </c>
      <c r="N414">
        <v>12</v>
      </c>
      <c r="O414" t="s">
        <v>32</v>
      </c>
      <c r="P414" t="s">
        <v>15</v>
      </c>
    </row>
    <row r="415" spans="1:16" x14ac:dyDescent="0.35">
      <c r="A415" t="s">
        <v>10</v>
      </c>
      <c r="B415" t="s">
        <v>17</v>
      </c>
      <c r="C415" t="s">
        <v>42</v>
      </c>
      <c r="D415" t="s">
        <v>47</v>
      </c>
      <c r="E415">
        <v>436.5</v>
      </c>
      <c r="F415">
        <v>250</v>
      </c>
      <c r="G415">
        <v>20</v>
      </c>
      <c r="H415">
        <v>8730</v>
      </c>
      <c r="I415">
        <v>698.40000000000009</v>
      </c>
      <c r="J415">
        <v>8031.5999999999995</v>
      </c>
      <c r="K415">
        <v>4365</v>
      </c>
      <c r="L415">
        <v>3666.5999999999995</v>
      </c>
      <c r="M415">
        <v>41821</v>
      </c>
      <c r="N415">
        <v>7</v>
      </c>
      <c r="O415" t="s">
        <v>27</v>
      </c>
      <c r="P415" t="s">
        <v>15</v>
      </c>
    </row>
    <row r="416" spans="1:16" x14ac:dyDescent="0.35">
      <c r="A416" t="s">
        <v>7</v>
      </c>
      <c r="B416" t="s">
        <v>16</v>
      </c>
      <c r="C416" t="s">
        <v>38</v>
      </c>
      <c r="D416" t="s">
        <v>47</v>
      </c>
      <c r="E416">
        <v>1094</v>
      </c>
      <c r="F416">
        <v>3</v>
      </c>
      <c r="G416">
        <v>300</v>
      </c>
      <c r="H416">
        <v>328200</v>
      </c>
      <c r="I416">
        <v>29538</v>
      </c>
      <c r="J416">
        <v>298662</v>
      </c>
      <c r="K416">
        <v>273500</v>
      </c>
      <c r="L416">
        <v>25162</v>
      </c>
      <c r="M416">
        <v>41791</v>
      </c>
      <c r="N416">
        <v>6</v>
      </c>
      <c r="O416" t="s">
        <v>26</v>
      </c>
      <c r="P416" t="s">
        <v>15</v>
      </c>
    </row>
    <row r="417" spans="1:16" x14ac:dyDescent="0.35">
      <c r="A417" t="s">
        <v>11</v>
      </c>
      <c r="B417" t="s">
        <v>20</v>
      </c>
      <c r="C417" t="s">
        <v>38</v>
      </c>
      <c r="D417" t="s">
        <v>47</v>
      </c>
      <c r="E417">
        <v>367</v>
      </c>
      <c r="F417">
        <v>3</v>
      </c>
      <c r="G417">
        <v>12</v>
      </c>
      <c r="H417">
        <v>4404</v>
      </c>
      <c r="I417">
        <v>396.36</v>
      </c>
      <c r="J417">
        <v>4007.64</v>
      </c>
      <c r="K417">
        <v>1101</v>
      </c>
      <c r="L417">
        <v>2906.64</v>
      </c>
      <c r="M417">
        <v>41548</v>
      </c>
      <c r="N417">
        <v>10</v>
      </c>
      <c r="O417" t="s">
        <v>30</v>
      </c>
      <c r="P417" t="s">
        <v>14</v>
      </c>
    </row>
    <row r="418" spans="1:16" x14ac:dyDescent="0.35">
      <c r="A418" t="s">
        <v>7</v>
      </c>
      <c r="B418" t="s">
        <v>16</v>
      </c>
      <c r="C418" t="s">
        <v>39</v>
      </c>
      <c r="D418" t="s">
        <v>47</v>
      </c>
      <c r="E418">
        <v>3802.5</v>
      </c>
      <c r="F418">
        <v>5</v>
      </c>
      <c r="G418">
        <v>300</v>
      </c>
      <c r="H418">
        <v>1140750</v>
      </c>
      <c r="I418">
        <v>102667.5</v>
      </c>
      <c r="J418">
        <v>1038082.5</v>
      </c>
      <c r="K418">
        <v>950625</v>
      </c>
      <c r="L418">
        <v>87457.5</v>
      </c>
      <c r="M418">
        <v>41730</v>
      </c>
      <c r="N418">
        <v>4</v>
      </c>
      <c r="O418" t="s">
        <v>24</v>
      </c>
      <c r="P418" t="s">
        <v>15</v>
      </c>
    </row>
    <row r="419" spans="1:16" x14ac:dyDescent="0.35">
      <c r="A419" t="s">
        <v>10</v>
      </c>
      <c r="B419" t="s">
        <v>18</v>
      </c>
      <c r="C419" t="s">
        <v>39</v>
      </c>
      <c r="D419" t="s">
        <v>47</v>
      </c>
      <c r="E419">
        <v>1666</v>
      </c>
      <c r="F419">
        <v>5</v>
      </c>
      <c r="G419">
        <v>350</v>
      </c>
      <c r="H419">
        <v>583100</v>
      </c>
      <c r="I419">
        <v>52479</v>
      </c>
      <c r="J419">
        <v>530621</v>
      </c>
      <c r="K419">
        <v>433160</v>
      </c>
      <c r="L419">
        <v>97461</v>
      </c>
      <c r="M419">
        <v>41760</v>
      </c>
      <c r="N419">
        <v>5</v>
      </c>
      <c r="O419" t="s">
        <v>25</v>
      </c>
      <c r="P419" t="s">
        <v>15</v>
      </c>
    </row>
    <row r="420" spans="1:16" x14ac:dyDescent="0.35">
      <c r="A420" t="s">
        <v>7</v>
      </c>
      <c r="B420" t="s">
        <v>18</v>
      </c>
      <c r="C420" t="s">
        <v>39</v>
      </c>
      <c r="D420" t="s">
        <v>47</v>
      </c>
      <c r="E420">
        <v>322</v>
      </c>
      <c r="F420">
        <v>5</v>
      </c>
      <c r="G420">
        <v>300</v>
      </c>
      <c r="H420">
        <v>96600</v>
      </c>
      <c r="I420">
        <v>8694</v>
      </c>
      <c r="J420">
        <v>87906</v>
      </c>
      <c r="K420">
        <v>80500</v>
      </c>
      <c r="L420">
        <v>7406</v>
      </c>
      <c r="M420">
        <v>41518</v>
      </c>
      <c r="N420">
        <v>9</v>
      </c>
      <c r="O420" t="s">
        <v>29</v>
      </c>
      <c r="P420" t="s">
        <v>14</v>
      </c>
    </row>
    <row r="421" spans="1:16" x14ac:dyDescent="0.35">
      <c r="A421" t="s">
        <v>11</v>
      </c>
      <c r="B421" t="s">
        <v>16</v>
      </c>
      <c r="C421" t="s">
        <v>39</v>
      </c>
      <c r="D421" t="s">
        <v>47</v>
      </c>
      <c r="E421">
        <v>2321</v>
      </c>
      <c r="F421">
        <v>5</v>
      </c>
      <c r="G421">
        <v>12</v>
      </c>
      <c r="H421">
        <v>27852</v>
      </c>
      <c r="I421">
        <v>2506.6799999999998</v>
      </c>
      <c r="J421">
        <v>25345.32</v>
      </c>
      <c r="K421">
        <v>6963</v>
      </c>
      <c r="L421">
        <v>18382.32</v>
      </c>
      <c r="M421">
        <v>41944</v>
      </c>
      <c r="N421">
        <v>11</v>
      </c>
      <c r="O421" t="s">
        <v>31</v>
      </c>
      <c r="P421" t="s">
        <v>15</v>
      </c>
    </row>
    <row r="422" spans="1:16" x14ac:dyDescent="0.35">
      <c r="A422" t="s">
        <v>9</v>
      </c>
      <c r="B422" t="s">
        <v>18</v>
      </c>
      <c r="C422" t="s">
        <v>39</v>
      </c>
      <c r="D422" t="s">
        <v>47</v>
      </c>
      <c r="E422">
        <v>1857</v>
      </c>
      <c r="F422">
        <v>5</v>
      </c>
      <c r="G422">
        <v>125</v>
      </c>
      <c r="H422">
        <v>232125</v>
      </c>
      <c r="I422">
        <v>20891.25</v>
      </c>
      <c r="J422">
        <v>211233.75</v>
      </c>
      <c r="K422">
        <v>222840</v>
      </c>
      <c r="L422">
        <v>-11606.25</v>
      </c>
      <c r="M422">
        <v>41579</v>
      </c>
      <c r="N422">
        <v>11</v>
      </c>
      <c r="O422" t="s">
        <v>31</v>
      </c>
      <c r="P422" t="s">
        <v>14</v>
      </c>
    </row>
    <row r="423" spans="1:16" x14ac:dyDescent="0.35">
      <c r="A423" t="s">
        <v>10</v>
      </c>
      <c r="B423" t="s">
        <v>16</v>
      </c>
      <c r="C423" t="s">
        <v>39</v>
      </c>
      <c r="D423" t="s">
        <v>47</v>
      </c>
      <c r="E423">
        <v>1611</v>
      </c>
      <c r="F423">
        <v>5</v>
      </c>
      <c r="G423">
        <v>7</v>
      </c>
      <c r="H423">
        <v>11277</v>
      </c>
      <c r="I423">
        <v>1014.93</v>
      </c>
      <c r="J423">
        <v>10262.07</v>
      </c>
      <c r="K423">
        <v>8055</v>
      </c>
      <c r="L423">
        <v>2207.0699999999997</v>
      </c>
      <c r="M423">
        <v>41609</v>
      </c>
      <c r="N423">
        <v>12</v>
      </c>
      <c r="O423" t="s">
        <v>32</v>
      </c>
      <c r="P423" t="s">
        <v>14</v>
      </c>
    </row>
    <row r="424" spans="1:16" x14ac:dyDescent="0.35">
      <c r="A424" t="s">
        <v>9</v>
      </c>
      <c r="B424" t="s">
        <v>17</v>
      </c>
      <c r="C424" t="s">
        <v>39</v>
      </c>
      <c r="D424" t="s">
        <v>47</v>
      </c>
      <c r="E424">
        <v>2797</v>
      </c>
      <c r="F424">
        <v>5</v>
      </c>
      <c r="G424">
        <v>125</v>
      </c>
      <c r="H424">
        <v>349625</v>
      </c>
      <c r="I424">
        <v>31466.25</v>
      </c>
      <c r="J424">
        <v>318158.75</v>
      </c>
      <c r="K424">
        <v>335640</v>
      </c>
      <c r="L424">
        <v>-17481.25</v>
      </c>
      <c r="M424">
        <v>41974</v>
      </c>
      <c r="N424">
        <v>12</v>
      </c>
      <c r="O424" t="s">
        <v>32</v>
      </c>
      <c r="P424" t="s">
        <v>15</v>
      </c>
    </row>
    <row r="425" spans="1:16" x14ac:dyDescent="0.35">
      <c r="A425" t="s">
        <v>7</v>
      </c>
      <c r="B425" t="s">
        <v>19</v>
      </c>
      <c r="C425" t="s">
        <v>39</v>
      </c>
      <c r="D425" t="s">
        <v>47</v>
      </c>
      <c r="E425">
        <v>334</v>
      </c>
      <c r="F425">
        <v>5</v>
      </c>
      <c r="G425">
        <v>300</v>
      </c>
      <c r="H425">
        <v>100200</v>
      </c>
      <c r="I425">
        <v>9018</v>
      </c>
      <c r="J425">
        <v>91182</v>
      </c>
      <c r="K425">
        <v>83500</v>
      </c>
      <c r="L425">
        <v>7682</v>
      </c>
      <c r="M425">
        <v>41609</v>
      </c>
      <c r="N425">
        <v>12</v>
      </c>
      <c r="O425" t="s">
        <v>32</v>
      </c>
      <c r="P425" t="s">
        <v>14</v>
      </c>
    </row>
    <row r="426" spans="1:16" x14ac:dyDescent="0.35">
      <c r="A426" t="s">
        <v>7</v>
      </c>
      <c r="B426" t="s">
        <v>20</v>
      </c>
      <c r="C426" t="s">
        <v>40</v>
      </c>
      <c r="D426" t="s">
        <v>47</v>
      </c>
      <c r="E426">
        <v>2565</v>
      </c>
      <c r="F426">
        <v>10</v>
      </c>
      <c r="G426">
        <v>300</v>
      </c>
      <c r="H426">
        <v>769500</v>
      </c>
      <c r="I426">
        <v>69255</v>
      </c>
      <c r="J426">
        <v>700245</v>
      </c>
      <c r="K426">
        <v>641250</v>
      </c>
      <c r="L426">
        <v>58995</v>
      </c>
      <c r="M426">
        <v>41640</v>
      </c>
      <c r="N426">
        <v>1</v>
      </c>
      <c r="O426" t="s">
        <v>21</v>
      </c>
      <c r="P426" t="s">
        <v>15</v>
      </c>
    </row>
    <row r="427" spans="1:16" x14ac:dyDescent="0.35">
      <c r="A427" t="s">
        <v>10</v>
      </c>
      <c r="B427" t="s">
        <v>20</v>
      </c>
      <c r="C427" t="s">
        <v>40</v>
      </c>
      <c r="D427" t="s">
        <v>47</v>
      </c>
      <c r="E427">
        <v>2417</v>
      </c>
      <c r="F427">
        <v>10</v>
      </c>
      <c r="G427">
        <v>350</v>
      </c>
      <c r="H427">
        <v>845950</v>
      </c>
      <c r="I427">
        <v>76135.5</v>
      </c>
      <c r="J427">
        <v>769814.5</v>
      </c>
      <c r="K427">
        <v>628420</v>
      </c>
      <c r="L427">
        <v>141394.5</v>
      </c>
      <c r="M427">
        <v>41640</v>
      </c>
      <c r="N427">
        <v>1</v>
      </c>
      <c r="O427" t="s">
        <v>21</v>
      </c>
      <c r="P427" t="s">
        <v>15</v>
      </c>
    </row>
    <row r="428" spans="1:16" x14ac:dyDescent="0.35">
      <c r="A428" t="s">
        <v>8</v>
      </c>
      <c r="B428" t="s">
        <v>17</v>
      </c>
      <c r="C428" t="s">
        <v>40</v>
      </c>
      <c r="D428" t="s">
        <v>47</v>
      </c>
      <c r="E428">
        <v>3675</v>
      </c>
      <c r="F428">
        <v>10</v>
      </c>
      <c r="G428">
        <v>15</v>
      </c>
      <c r="H428">
        <v>55125</v>
      </c>
      <c r="I428">
        <v>4961.25</v>
      </c>
      <c r="J428">
        <v>50163.75</v>
      </c>
      <c r="K428">
        <v>36750</v>
      </c>
      <c r="L428">
        <v>13413.75</v>
      </c>
      <c r="M428">
        <v>41730</v>
      </c>
      <c r="N428">
        <v>4</v>
      </c>
      <c r="O428" t="s">
        <v>24</v>
      </c>
      <c r="P428" t="s">
        <v>15</v>
      </c>
    </row>
    <row r="429" spans="1:16" x14ac:dyDescent="0.35">
      <c r="A429" t="s">
        <v>7</v>
      </c>
      <c r="B429" t="s">
        <v>16</v>
      </c>
      <c r="C429" t="s">
        <v>40</v>
      </c>
      <c r="D429" t="s">
        <v>47</v>
      </c>
      <c r="E429">
        <v>1094</v>
      </c>
      <c r="F429">
        <v>10</v>
      </c>
      <c r="G429">
        <v>300</v>
      </c>
      <c r="H429">
        <v>328200</v>
      </c>
      <c r="I429">
        <v>29538</v>
      </c>
      <c r="J429">
        <v>298662</v>
      </c>
      <c r="K429">
        <v>273500</v>
      </c>
      <c r="L429">
        <v>25162</v>
      </c>
      <c r="M429">
        <v>41791</v>
      </c>
      <c r="N429">
        <v>6</v>
      </c>
      <c r="O429" t="s">
        <v>26</v>
      </c>
      <c r="P429" t="s">
        <v>15</v>
      </c>
    </row>
    <row r="430" spans="1:16" x14ac:dyDescent="0.35">
      <c r="A430" t="s">
        <v>8</v>
      </c>
      <c r="B430" t="s">
        <v>18</v>
      </c>
      <c r="C430" t="s">
        <v>40</v>
      </c>
      <c r="D430" t="s">
        <v>47</v>
      </c>
      <c r="E430">
        <v>1227</v>
      </c>
      <c r="F430">
        <v>10</v>
      </c>
      <c r="G430">
        <v>15</v>
      </c>
      <c r="H430">
        <v>18405</v>
      </c>
      <c r="I430">
        <v>1656.45</v>
      </c>
      <c r="J430">
        <v>16748.55</v>
      </c>
      <c r="K430">
        <v>12270</v>
      </c>
      <c r="L430">
        <v>4478.5499999999993</v>
      </c>
      <c r="M430">
        <v>41913</v>
      </c>
      <c r="N430">
        <v>10</v>
      </c>
      <c r="O430" t="s">
        <v>30</v>
      </c>
      <c r="P430" t="s">
        <v>15</v>
      </c>
    </row>
    <row r="431" spans="1:16" x14ac:dyDescent="0.35">
      <c r="A431" t="s">
        <v>11</v>
      </c>
      <c r="B431" t="s">
        <v>20</v>
      </c>
      <c r="C431" t="s">
        <v>40</v>
      </c>
      <c r="D431" t="s">
        <v>47</v>
      </c>
      <c r="E431">
        <v>367</v>
      </c>
      <c r="F431">
        <v>10</v>
      </c>
      <c r="G431">
        <v>12</v>
      </c>
      <c r="H431">
        <v>4404</v>
      </c>
      <c r="I431">
        <v>396.36</v>
      </c>
      <c r="J431">
        <v>4007.64</v>
      </c>
      <c r="K431">
        <v>1101</v>
      </c>
      <c r="L431">
        <v>2906.64</v>
      </c>
      <c r="M431">
        <v>41548</v>
      </c>
      <c r="N431">
        <v>10</v>
      </c>
      <c r="O431" t="s">
        <v>30</v>
      </c>
      <c r="P431" t="s">
        <v>14</v>
      </c>
    </row>
    <row r="432" spans="1:16" x14ac:dyDescent="0.35">
      <c r="A432" t="s">
        <v>7</v>
      </c>
      <c r="B432" t="s">
        <v>18</v>
      </c>
      <c r="C432" t="s">
        <v>40</v>
      </c>
      <c r="D432" t="s">
        <v>47</v>
      </c>
      <c r="E432">
        <v>1324</v>
      </c>
      <c r="F432">
        <v>10</v>
      </c>
      <c r="G432">
        <v>300</v>
      </c>
      <c r="H432">
        <v>397200</v>
      </c>
      <c r="I432">
        <v>35748</v>
      </c>
      <c r="J432">
        <v>361452</v>
      </c>
      <c r="K432">
        <v>331000</v>
      </c>
      <c r="L432">
        <v>30452</v>
      </c>
      <c r="M432">
        <v>41944</v>
      </c>
      <c r="N432">
        <v>11</v>
      </c>
      <c r="O432" t="s">
        <v>31</v>
      </c>
      <c r="P432" t="s">
        <v>15</v>
      </c>
    </row>
    <row r="433" spans="1:16" x14ac:dyDescent="0.35">
      <c r="A433" t="s">
        <v>11</v>
      </c>
      <c r="B433" t="s">
        <v>19</v>
      </c>
      <c r="C433" t="s">
        <v>40</v>
      </c>
      <c r="D433" t="s">
        <v>47</v>
      </c>
      <c r="E433">
        <v>1775</v>
      </c>
      <c r="F433">
        <v>10</v>
      </c>
      <c r="G433">
        <v>12</v>
      </c>
      <c r="H433">
        <v>21300</v>
      </c>
      <c r="I433">
        <v>1917</v>
      </c>
      <c r="J433">
        <v>19383</v>
      </c>
      <c r="K433">
        <v>5325</v>
      </c>
      <c r="L433">
        <v>14058</v>
      </c>
      <c r="M433">
        <v>41579</v>
      </c>
      <c r="N433">
        <v>11</v>
      </c>
      <c r="O433" t="s">
        <v>31</v>
      </c>
      <c r="P433" t="s">
        <v>14</v>
      </c>
    </row>
    <row r="434" spans="1:16" x14ac:dyDescent="0.35">
      <c r="A434" t="s">
        <v>9</v>
      </c>
      <c r="B434" t="s">
        <v>17</v>
      </c>
      <c r="C434" t="s">
        <v>40</v>
      </c>
      <c r="D434" t="s">
        <v>47</v>
      </c>
      <c r="E434">
        <v>2797</v>
      </c>
      <c r="F434">
        <v>10</v>
      </c>
      <c r="G434">
        <v>125</v>
      </c>
      <c r="H434">
        <v>349625</v>
      </c>
      <c r="I434">
        <v>31466.25</v>
      </c>
      <c r="J434">
        <v>318158.75</v>
      </c>
      <c r="K434">
        <v>335640</v>
      </c>
      <c r="L434">
        <v>-17481.25</v>
      </c>
      <c r="M434">
        <v>41974</v>
      </c>
      <c r="N434">
        <v>12</v>
      </c>
      <c r="O434" t="s">
        <v>32</v>
      </c>
      <c r="P434" t="s">
        <v>15</v>
      </c>
    </row>
    <row r="435" spans="1:16" x14ac:dyDescent="0.35">
      <c r="A435" t="s">
        <v>8</v>
      </c>
      <c r="B435" t="s">
        <v>20</v>
      </c>
      <c r="C435" t="s">
        <v>41</v>
      </c>
      <c r="D435" t="s">
        <v>47</v>
      </c>
      <c r="E435">
        <v>245</v>
      </c>
      <c r="F435">
        <v>120</v>
      </c>
      <c r="G435">
        <v>15</v>
      </c>
      <c r="H435">
        <v>3675</v>
      </c>
      <c r="I435">
        <v>330.75</v>
      </c>
      <c r="J435">
        <v>3344.25</v>
      </c>
      <c r="K435">
        <v>2450</v>
      </c>
      <c r="L435">
        <v>894.25</v>
      </c>
      <c r="M435">
        <v>41760</v>
      </c>
      <c r="N435">
        <v>5</v>
      </c>
      <c r="O435" t="s">
        <v>25</v>
      </c>
      <c r="P435" t="s">
        <v>15</v>
      </c>
    </row>
    <row r="436" spans="1:16" x14ac:dyDescent="0.35">
      <c r="A436" t="s">
        <v>7</v>
      </c>
      <c r="B436" t="s">
        <v>16</v>
      </c>
      <c r="C436" t="s">
        <v>41</v>
      </c>
      <c r="D436" t="s">
        <v>47</v>
      </c>
      <c r="E436">
        <v>3793.5</v>
      </c>
      <c r="F436">
        <v>120</v>
      </c>
      <c r="G436">
        <v>300</v>
      </c>
      <c r="H436">
        <v>1138050</v>
      </c>
      <c r="I436">
        <v>102424.5</v>
      </c>
      <c r="J436">
        <v>1035625.5</v>
      </c>
      <c r="K436">
        <v>948375</v>
      </c>
      <c r="L436">
        <v>87250.5</v>
      </c>
      <c r="M436">
        <v>41821</v>
      </c>
      <c r="N436">
        <v>7</v>
      </c>
      <c r="O436" t="s">
        <v>27</v>
      </c>
      <c r="P436" t="s">
        <v>15</v>
      </c>
    </row>
    <row r="437" spans="1:16" x14ac:dyDescent="0.35">
      <c r="A437" t="s">
        <v>10</v>
      </c>
      <c r="B437" t="s">
        <v>19</v>
      </c>
      <c r="C437" t="s">
        <v>41</v>
      </c>
      <c r="D437" t="s">
        <v>47</v>
      </c>
      <c r="E437">
        <v>1307</v>
      </c>
      <c r="F437">
        <v>120</v>
      </c>
      <c r="G437">
        <v>350</v>
      </c>
      <c r="H437">
        <v>457450</v>
      </c>
      <c r="I437">
        <v>41170.5</v>
      </c>
      <c r="J437">
        <v>416279.5</v>
      </c>
      <c r="K437">
        <v>339820</v>
      </c>
      <c r="L437">
        <v>76459.5</v>
      </c>
      <c r="M437">
        <v>41821</v>
      </c>
      <c r="N437">
        <v>7</v>
      </c>
      <c r="O437" t="s">
        <v>27</v>
      </c>
      <c r="P437" t="s">
        <v>15</v>
      </c>
    </row>
    <row r="438" spans="1:16" x14ac:dyDescent="0.35">
      <c r="A438" t="s">
        <v>9</v>
      </c>
      <c r="B438" t="s">
        <v>16</v>
      </c>
      <c r="C438" t="s">
        <v>41</v>
      </c>
      <c r="D438" t="s">
        <v>47</v>
      </c>
      <c r="E438">
        <v>567</v>
      </c>
      <c r="F438">
        <v>120</v>
      </c>
      <c r="G438">
        <v>125</v>
      </c>
      <c r="H438">
        <v>70875</v>
      </c>
      <c r="I438">
        <v>6378.75</v>
      </c>
      <c r="J438">
        <v>64496.25</v>
      </c>
      <c r="K438">
        <v>68040</v>
      </c>
      <c r="L438">
        <v>-3543.75</v>
      </c>
      <c r="M438">
        <v>41883</v>
      </c>
      <c r="N438">
        <v>9</v>
      </c>
      <c r="O438" t="s">
        <v>29</v>
      </c>
      <c r="P438" t="s">
        <v>15</v>
      </c>
    </row>
    <row r="439" spans="1:16" x14ac:dyDescent="0.35">
      <c r="A439" t="s">
        <v>9</v>
      </c>
      <c r="B439" t="s">
        <v>20</v>
      </c>
      <c r="C439" t="s">
        <v>41</v>
      </c>
      <c r="D439" t="s">
        <v>47</v>
      </c>
      <c r="E439">
        <v>2110</v>
      </c>
      <c r="F439">
        <v>120</v>
      </c>
      <c r="G439">
        <v>125</v>
      </c>
      <c r="H439">
        <v>263750</v>
      </c>
      <c r="I439">
        <v>23737.5</v>
      </c>
      <c r="J439">
        <v>240012.5</v>
      </c>
      <c r="K439">
        <v>253200</v>
      </c>
      <c r="L439">
        <v>-13187.5</v>
      </c>
      <c r="M439">
        <v>41883</v>
      </c>
      <c r="N439">
        <v>9</v>
      </c>
      <c r="O439" t="s">
        <v>29</v>
      </c>
      <c r="P439" t="s">
        <v>15</v>
      </c>
    </row>
    <row r="440" spans="1:16" x14ac:dyDescent="0.35">
      <c r="A440" t="s">
        <v>10</v>
      </c>
      <c r="B440" t="s">
        <v>16</v>
      </c>
      <c r="C440" t="s">
        <v>41</v>
      </c>
      <c r="D440" t="s">
        <v>47</v>
      </c>
      <c r="E440">
        <v>1269</v>
      </c>
      <c r="F440">
        <v>120</v>
      </c>
      <c r="G440">
        <v>350</v>
      </c>
      <c r="H440">
        <v>444150</v>
      </c>
      <c r="I440">
        <v>39973.5</v>
      </c>
      <c r="J440">
        <v>404176.5</v>
      </c>
      <c r="K440">
        <v>329940</v>
      </c>
      <c r="L440">
        <v>74236.5</v>
      </c>
      <c r="M440">
        <v>41913</v>
      </c>
      <c r="N440">
        <v>10</v>
      </c>
      <c r="O440" t="s">
        <v>30</v>
      </c>
      <c r="P440" t="s">
        <v>15</v>
      </c>
    </row>
    <row r="441" spans="1:16" x14ac:dyDescent="0.35">
      <c r="A441" t="s">
        <v>11</v>
      </c>
      <c r="B441" t="s">
        <v>17</v>
      </c>
      <c r="C441" t="s">
        <v>42</v>
      </c>
      <c r="D441" t="s">
        <v>47</v>
      </c>
      <c r="E441">
        <v>1956</v>
      </c>
      <c r="F441">
        <v>250</v>
      </c>
      <c r="G441">
        <v>12</v>
      </c>
      <c r="H441">
        <v>23472</v>
      </c>
      <c r="I441">
        <v>2112.48</v>
      </c>
      <c r="J441">
        <v>21359.52</v>
      </c>
      <c r="K441">
        <v>5868</v>
      </c>
      <c r="L441">
        <v>15491.52</v>
      </c>
      <c r="M441">
        <v>41640</v>
      </c>
      <c r="N441">
        <v>1</v>
      </c>
      <c r="O441" t="s">
        <v>21</v>
      </c>
      <c r="P441" t="s">
        <v>15</v>
      </c>
    </row>
    <row r="442" spans="1:16" x14ac:dyDescent="0.35">
      <c r="A442" t="s">
        <v>7</v>
      </c>
      <c r="B442" t="s">
        <v>19</v>
      </c>
      <c r="C442" t="s">
        <v>42</v>
      </c>
      <c r="D442" t="s">
        <v>47</v>
      </c>
      <c r="E442">
        <v>2659</v>
      </c>
      <c r="F442">
        <v>250</v>
      </c>
      <c r="G442">
        <v>300</v>
      </c>
      <c r="H442">
        <v>797700</v>
      </c>
      <c r="I442">
        <v>71793</v>
      </c>
      <c r="J442">
        <v>725907</v>
      </c>
      <c r="K442">
        <v>664750</v>
      </c>
      <c r="L442">
        <v>61157</v>
      </c>
      <c r="M442">
        <v>41671</v>
      </c>
      <c r="N442">
        <v>2</v>
      </c>
      <c r="O442" t="s">
        <v>22</v>
      </c>
      <c r="P442" t="s">
        <v>15</v>
      </c>
    </row>
    <row r="443" spans="1:16" x14ac:dyDescent="0.35">
      <c r="A443" t="s">
        <v>10</v>
      </c>
      <c r="B443" t="s">
        <v>17</v>
      </c>
      <c r="C443" t="s">
        <v>42</v>
      </c>
      <c r="D443" t="s">
        <v>47</v>
      </c>
      <c r="E443">
        <v>1351.5</v>
      </c>
      <c r="F443">
        <v>250</v>
      </c>
      <c r="G443">
        <v>350</v>
      </c>
      <c r="H443">
        <v>473025</v>
      </c>
      <c r="I443">
        <v>42572.25</v>
      </c>
      <c r="J443">
        <v>430452.75</v>
      </c>
      <c r="K443">
        <v>351390</v>
      </c>
      <c r="L443">
        <v>79062.75</v>
      </c>
      <c r="M443">
        <v>41730</v>
      </c>
      <c r="N443">
        <v>4</v>
      </c>
      <c r="O443" t="s">
        <v>24</v>
      </c>
      <c r="P443" t="s">
        <v>15</v>
      </c>
    </row>
    <row r="444" spans="1:16" x14ac:dyDescent="0.35">
      <c r="A444" t="s">
        <v>11</v>
      </c>
      <c r="B444" t="s">
        <v>19</v>
      </c>
      <c r="C444" t="s">
        <v>42</v>
      </c>
      <c r="D444" t="s">
        <v>47</v>
      </c>
      <c r="E444">
        <v>880</v>
      </c>
      <c r="F444">
        <v>250</v>
      </c>
      <c r="G444">
        <v>12</v>
      </c>
      <c r="H444">
        <v>10560</v>
      </c>
      <c r="I444">
        <v>950.4</v>
      </c>
      <c r="J444">
        <v>9609.6</v>
      </c>
      <c r="K444">
        <v>2640</v>
      </c>
      <c r="L444">
        <v>6969.6</v>
      </c>
      <c r="M444">
        <v>41760</v>
      </c>
      <c r="N444">
        <v>5</v>
      </c>
      <c r="O444" t="s">
        <v>25</v>
      </c>
      <c r="P444" t="s">
        <v>15</v>
      </c>
    </row>
    <row r="445" spans="1:16" x14ac:dyDescent="0.35">
      <c r="A445" t="s">
        <v>7</v>
      </c>
      <c r="B445" t="s">
        <v>17</v>
      </c>
      <c r="C445" t="s">
        <v>42</v>
      </c>
      <c r="D445" t="s">
        <v>47</v>
      </c>
      <c r="E445">
        <v>1867</v>
      </c>
      <c r="F445">
        <v>250</v>
      </c>
      <c r="G445">
        <v>300</v>
      </c>
      <c r="H445">
        <v>560100</v>
      </c>
      <c r="I445">
        <v>50409</v>
      </c>
      <c r="J445">
        <v>509691</v>
      </c>
      <c r="K445">
        <v>466750</v>
      </c>
      <c r="L445">
        <v>42941</v>
      </c>
      <c r="M445">
        <v>41883</v>
      </c>
      <c r="N445">
        <v>9</v>
      </c>
      <c r="O445" t="s">
        <v>29</v>
      </c>
      <c r="P445" t="s">
        <v>15</v>
      </c>
    </row>
    <row r="446" spans="1:16" x14ac:dyDescent="0.35">
      <c r="A446" t="s">
        <v>11</v>
      </c>
      <c r="B446" t="s">
        <v>18</v>
      </c>
      <c r="C446" t="s">
        <v>42</v>
      </c>
      <c r="D446" t="s">
        <v>47</v>
      </c>
      <c r="E446">
        <v>2234</v>
      </c>
      <c r="F446">
        <v>250</v>
      </c>
      <c r="G446">
        <v>12</v>
      </c>
      <c r="H446">
        <v>26808</v>
      </c>
      <c r="I446">
        <v>2412.7199999999998</v>
      </c>
      <c r="J446">
        <v>24395.279999999999</v>
      </c>
      <c r="K446">
        <v>6702</v>
      </c>
      <c r="L446">
        <v>17693.28</v>
      </c>
      <c r="M446">
        <v>41518</v>
      </c>
      <c r="N446">
        <v>9</v>
      </c>
      <c r="O446" t="s">
        <v>29</v>
      </c>
      <c r="P446" t="s">
        <v>14</v>
      </c>
    </row>
    <row r="447" spans="1:16" x14ac:dyDescent="0.35">
      <c r="A447" t="s">
        <v>8</v>
      </c>
      <c r="B447" t="s">
        <v>18</v>
      </c>
      <c r="C447" t="s">
        <v>42</v>
      </c>
      <c r="D447" t="s">
        <v>47</v>
      </c>
      <c r="E447">
        <v>1227</v>
      </c>
      <c r="F447">
        <v>250</v>
      </c>
      <c r="G447">
        <v>15</v>
      </c>
      <c r="H447">
        <v>18405</v>
      </c>
      <c r="I447">
        <v>1656.45</v>
      </c>
      <c r="J447">
        <v>16748.55</v>
      </c>
      <c r="K447">
        <v>12270</v>
      </c>
      <c r="L447">
        <v>4478.5499999999993</v>
      </c>
      <c r="M447">
        <v>41913</v>
      </c>
      <c r="N447">
        <v>10</v>
      </c>
      <c r="O447" t="s">
        <v>30</v>
      </c>
      <c r="P447" t="s">
        <v>15</v>
      </c>
    </row>
    <row r="448" spans="1:16" x14ac:dyDescent="0.35">
      <c r="A448" t="s">
        <v>9</v>
      </c>
      <c r="B448" t="s">
        <v>20</v>
      </c>
      <c r="C448" t="s">
        <v>42</v>
      </c>
      <c r="D448" t="s">
        <v>47</v>
      </c>
      <c r="E448">
        <v>877</v>
      </c>
      <c r="F448">
        <v>250</v>
      </c>
      <c r="G448">
        <v>125</v>
      </c>
      <c r="H448">
        <v>109625</v>
      </c>
      <c r="I448">
        <v>9866.25</v>
      </c>
      <c r="J448">
        <v>99758.75</v>
      </c>
      <c r="K448">
        <v>105240</v>
      </c>
      <c r="L448">
        <v>-5481.25</v>
      </c>
      <c r="M448">
        <v>41944</v>
      </c>
      <c r="N448">
        <v>11</v>
      </c>
      <c r="O448" t="s">
        <v>31</v>
      </c>
      <c r="P448" t="s">
        <v>15</v>
      </c>
    </row>
    <row r="449" spans="1:16" x14ac:dyDescent="0.35">
      <c r="A449" t="s">
        <v>10</v>
      </c>
      <c r="B449" t="s">
        <v>17</v>
      </c>
      <c r="C449" t="s">
        <v>43</v>
      </c>
      <c r="D449" t="s">
        <v>47</v>
      </c>
      <c r="E449">
        <v>2071</v>
      </c>
      <c r="F449">
        <v>260</v>
      </c>
      <c r="G449">
        <v>350</v>
      </c>
      <c r="H449">
        <v>724850</v>
      </c>
      <c r="I449">
        <v>65236.5</v>
      </c>
      <c r="J449">
        <v>659613.5</v>
      </c>
      <c r="K449">
        <v>538460</v>
      </c>
      <c r="L449">
        <v>121153.5</v>
      </c>
      <c r="M449">
        <v>41883</v>
      </c>
      <c r="N449">
        <v>9</v>
      </c>
      <c r="O449" t="s">
        <v>29</v>
      </c>
      <c r="P449" t="s">
        <v>15</v>
      </c>
    </row>
    <row r="450" spans="1:16" x14ac:dyDescent="0.35">
      <c r="A450" t="s">
        <v>10</v>
      </c>
      <c r="B450" t="s">
        <v>16</v>
      </c>
      <c r="C450" t="s">
        <v>43</v>
      </c>
      <c r="D450" t="s">
        <v>47</v>
      </c>
      <c r="E450">
        <v>1269</v>
      </c>
      <c r="F450">
        <v>260</v>
      </c>
      <c r="G450">
        <v>350</v>
      </c>
      <c r="H450">
        <v>444150</v>
      </c>
      <c r="I450">
        <v>39973.5</v>
      </c>
      <c r="J450">
        <v>404176.5</v>
      </c>
      <c r="K450">
        <v>329940</v>
      </c>
      <c r="L450">
        <v>74236.5</v>
      </c>
      <c r="M450">
        <v>41913</v>
      </c>
      <c r="N450">
        <v>10</v>
      </c>
      <c r="O450" t="s">
        <v>30</v>
      </c>
      <c r="P450" t="s">
        <v>15</v>
      </c>
    </row>
    <row r="451" spans="1:16" x14ac:dyDescent="0.35">
      <c r="A451" t="s">
        <v>8</v>
      </c>
      <c r="B451" t="s">
        <v>19</v>
      </c>
      <c r="C451" t="s">
        <v>43</v>
      </c>
      <c r="D451" t="s">
        <v>47</v>
      </c>
      <c r="E451">
        <v>970</v>
      </c>
      <c r="F451">
        <v>260</v>
      </c>
      <c r="G451">
        <v>15</v>
      </c>
      <c r="H451">
        <v>14550</v>
      </c>
      <c r="I451">
        <v>1309.5</v>
      </c>
      <c r="J451">
        <v>13240.5</v>
      </c>
      <c r="K451">
        <v>9700</v>
      </c>
      <c r="L451">
        <v>3540.5</v>
      </c>
      <c r="M451">
        <v>41579</v>
      </c>
      <c r="N451">
        <v>11</v>
      </c>
      <c r="O451" t="s">
        <v>31</v>
      </c>
      <c r="P451" t="s">
        <v>14</v>
      </c>
    </row>
    <row r="452" spans="1:16" x14ac:dyDescent="0.35">
      <c r="A452" t="s">
        <v>10</v>
      </c>
      <c r="B452" t="s">
        <v>20</v>
      </c>
      <c r="C452" t="s">
        <v>43</v>
      </c>
      <c r="D452" t="s">
        <v>47</v>
      </c>
      <c r="E452">
        <v>1694</v>
      </c>
      <c r="F452">
        <v>260</v>
      </c>
      <c r="G452">
        <v>20</v>
      </c>
      <c r="H452">
        <v>33880</v>
      </c>
      <c r="I452">
        <v>3049.2</v>
      </c>
      <c r="J452">
        <v>30830.799999999999</v>
      </c>
      <c r="K452">
        <v>16940</v>
      </c>
      <c r="L452">
        <v>13890.8</v>
      </c>
      <c r="M452">
        <v>41944</v>
      </c>
      <c r="N452">
        <v>11</v>
      </c>
      <c r="O452" t="s">
        <v>31</v>
      </c>
      <c r="P452" t="s">
        <v>15</v>
      </c>
    </row>
    <row r="453" spans="1:16" x14ac:dyDescent="0.35">
      <c r="A453" t="s">
        <v>10</v>
      </c>
      <c r="B453" t="s">
        <v>19</v>
      </c>
      <c r="C453" t="s">
        <v>38</v>
      </c>
      <c r="D453" t="s">
        <v>47</v>
      </c>
      <c r="E453">
        <v>663</v>
      </c>
      <c r="F453">
        <v>3</v>
      </c>
      <c r="G453">
        <v>20</v>
      </c>
      <c r="H453">
        <v>13260</v>
      </c>
      <c r="I453">
        <v>1193.4000000000001</v>
      </c>
      <c r="J453">
        <v>12066.6</v>
      </c>
      <c r="K453">
        <v>6630</v>
      </c>
      <c r="L453">
        <v>5436.6</v>
      </c>
      <c r="M453">
        <v>41760</v>
      </c>
      <c r="N453">
        <v>5</v>
      </c>
      <c r="O453" t="s">
        <v>25</v>
      </c>
      <c r="P453" t="s">
        <v>15</v>
      </c>
    </row>
    <row r="454" spans="1:16" x14ac:dyDescent="0.35">
      <c r="A454" t="s">
        <v>10</v>
      </c>
      <c r="B454" t="s">
        <v>16</v>
      </c>
      <c r="C454" t="s">
        <v>38</v>
      </c>
      <c r="D454" t="s">
        <v>47</v>
      </c>
      <c r="E454">
        <v>819</v>
      </c>
      <c r="F454">
        <v>3</v>
      </c>
      <c r="G454">
        <v>7</v>
      </c>
      <c r="H454">
        <v>5733</v>
      </c>
      <c r="I454">
        <v>515.97</v>
      </c>
      <c r="J454">
        <v>5217.03</v>
      </c>
      <c r="K454">
        <v>4095</v>
      </c>
      <c r="L454">
        <v>1122.03</v>
      </c>
      <c r="M454">
        <v>41821</v>
      </c>
      <c r="N454">
        <v>7</v>
      </c>
      <c r="O454" t="s">
        <v>27</v>
      </c>
      <c r="P454" t="s">
        <v>15</v>
      </c>
    </row>
    <row r="455" spans="1:16" x14ac:dyDescent="0.35">
      <c r="A455" t="s">
        <v>11</v>
      </c>
      <c r="B455" t="s">
        <v>19</v>
      </c>
      <c r="C455" t="s">
        <v>38</v>
      </c>
      <c r="D455" t="s">
        <v>47</v>
      </c>
      <c r="E455">
        <v>1580</v>
      </c>
      <c r="F455">
        <v>3</v>
      </c>
      <c r="G455">
        <v>12</v>
      </c>
      <c r="H455">
        <v>18960</v>
      </c>
      <c r="I455">
        <v>1706.4</v>
      </c>
      <c r="J455">
        <v>17253.599999999999</v>
      </c>
      <c r="K455">
        <v>4740</v>
      </c>
      <c r="L455">
        <v>12513.599999999999</v>
      </c>
      <c r="M455">
        <v>41883</v>
      </c>
      <c r="N455">
        <v>9</v>
      </c>
      <c r="O455" t="s">
        <v>29</v>
      </c>
      <c r="P455" t="s">
        <v>15</v>
      </c>
    </row>
    <row r="456" spans="1:16" x14ac:dyDescent="0.35">
      <c r="A456" t="s">
        <v>10</v>
      </c>
      <c r="B456" t="s">
        <v>20</v>
      </c>
      <c r="C456" t="s">
        <v>38</v>
      </c>
      <c r="D456" t="s">
        <v>47</v>
      </c>
      <c r="E456">
        <v>521</v>
      </c>
      <c r="F456">
        <v>3</v>
      </c>
      <c r="G456">
        <v>7</v>
      </c>
      <c r="H456">
        <v>3647</v>
      </c>
      <c r="I456">
        <v>328.23</v>
      </c>
      <c r="J456">
        <v>3318.77</v>
      </c>
      <c r="K456">
        <v>2605</v>
      </c>
      <c r="L456">
        <v>713.77</v>
      </c>
      <c r="M456">
        <v>41974</v>
      </c>
      <c r="N456">
        <v>12</v>
      </c>
      <c r="O456" t="s">
        <v>32</v>
      </c>
      <c r="P456" t="s">
        <v>15</v>
      </c>
    </row>
    <row r="457" spans="1:16" x14ac:dyDescent="0.35">
      <c r="A457" t="s">
        <v>10</v>
      </c>
      <c r="B457" t="s">
        <v>17</v>
      </c>
      <c r="C457" t="s">
        <v>40</v>
      </c>
      <c r="D457" t="s">
        <v>47</v>
      </c>
      <c r="E457">
        <v>973</v>
      </c>
      <c r="F457">
        <v>10</v>
      </c>
      <c r="G457">
        <v>20</v>
      </c>
      <c r="H457">
        <v>19460</v>
      </c>
      <c r="I457">
        <v>1751.4</v>
      </c>
      <c r="J457">
        <v>17708.599999999999</v>
      </c>
      <c r="K457">
        <v>9730</v>
      </c>
      <c r="L457">
        <v>7978.5999999999985</v>
      </c>
      <c r="M457">
        <v>41699</v>
      </c>
      <c r="N457">
        <v>3</v>
      </c>
      <c r="O457" t="s">
        <v>23</v>
      </c>
      <c r="P457" t="s">
        <v>15</v>
      </c>
    </row>
    <row r="458" spans="1:16" x14ac:dyDescent="0.35">
      <c r="A458" t="s">
        <v>10</v>
      </c>
      <c r="B458" t="s">
        <v>20</v>
      </c>
      <c r="C458" t="s">
        <v>40</v>
      </c>
      <c r="D458" t="s">
        <v>47</v>
      </c>
      <c r="E458">
        <v>1038</v>
      </c>
      <c r="F458">
        <v>10</v>
      </c>
      <c r="G458">
        <v>20</v>
      </c>
      <c r="H458">
        <v>20760</v>
      </c>
      <c r="I458">
        <v>1868.4</v>
      </c>
      <c r="J458">
        <v>18891.599999999999</v>
      </c>
      <c r="K458">
        <v>10380</v>
      </c>
      <c r="L458">
        <v>8511.5999999999985</v>
      </c>
      <c r="M458">
        <v>41791</v>
      </c>
      <c r="N458">
        <v>6</v>
      </c>
      <c r="O458" t="s">
        <v>26</v>
      </c>
      <c r="P458" t="s">
        <v>15</v>
      </c>
    </row>
    <row r="459" spans="1:16" x14ac:dyDescent="0.35">
      <c r="A459" t="s">
        <v>10</v>
      </c>
      <c r="B459" t="s">
        <v>19</v>
      </c>
      <c r="C459" t="s">
        <v>40</v>
      </c>
      <c r="D459" t="s">
        <v>47</v>
      </c>
      <c r="E459">
        <v>360</v>
      </c>
      <c r="F459">
        <v>10</v>
      </c>
      <c r="G459">
        <v>7</v>
      </c>
      <c r="H459">
        <v>2520</v>
      </c>
      <c r="I459">
        <v>226.8</v>
      </c>
      <c r="J459">
        <v>2293.1999999999998</v>
      </c>
      <c r="K459">
        <v>1800</v>
      </c>
      <c r="L459">
        <v>493.19999999999982</v>
      </c>
      <c r="M459">
        <v>41913</v>
      </c>
      <c r="N459">
        <v>10</v>
      </c>
      <c r="O459" t="s">
        <v>30</v>
      </c>
      <c r="P459" t="s">
        <v>15</v>
      </c>
    </row>
    <row r="460" spans="1:16" x14ac:dyDescent="0.35">
      <c r="A460" t="s">
        <v>11</v>
      </c>
      <c r="B460" t="s">
        <v>18</v>
      </c>
      <c r="C460" t="s">
        <v>41</v>
      </c>
      <c r="D460" t="s">
        <v>47</v>
      </c>
      <c r="E460">
        <v>1967</v>
      </c>
      <c r="F460">
        <v>120</v>
      </c>
      <c r="G460">
        <v>12</v>
      </c>
      <c r="H460">
        <v>23604</v>
      </c>
      <c r="I460">
        <v>2124.36</v>
      </c>
      <c r="J460">
        <v>21479.64</v>
      </c>
      <c r="K460">
        <v>5901</v>
      </c>
      <c r="L460">
        <v>15578.64</v>
      </c>
      <c r="M460">
        <v>41699</v>
      </c>
      <c r="N460">
        <v>3</v>
      </c>
      <c r="O460" t="s">
        <v>23</v>
      </c>
      <c r="P460" t="s">
        <v>15</v>
      </c>
    </row>
    <row r="461" spans="1:16" x14ac:dyDescent="0.35">
      <c r="A461" t="s">
        <v>8</v>
      </c>
      <c r="B461" t="s">
        <v>20</v>
      </c>
      <c r="C461" t="s">
        <v>41</v>
      </c>
      <c r="D461" t="s">
        <v>47</v>
      </c>
      <c r="E461">
        <v>2628</v>
      </c>
      <c r="F461">
        <v>120</v>
      </c>
      <c r="G461">
        <v>15</v>
      </c>
      <c r="H461">
        <v>39420</v>
      </c>
      <c r="I461">
        <v>3547.8</v>
      </c>
      <c r="J461">
        <v>35872.199999999997</v>
      </c>
      <c r="K461">
        <v>26280</v>
      </c>
      <c r="L461">
        <v>9592.1999999999971</v>
      </c>
      <c r="M461">
        <v>41730</v>
      </c>
      <c r="N461">
        <v>4</v>
      </c>
      <c r="O461" t="s">
        <v>24</v>
      </c>
      <c r="P461" t="s">
        <v>15</v>
      </c>
    </row>
    <row r="462" spans="1:16" x14ac:dyDescent="0.35">
      <c r="A462" t="s">
        <v>10</v>
      </c>
      <c r="B462" t="s">
        <v>19</v>
      </c>
      <c r="C462" t="s">
        <v>42</v>
      </c>
      <c r="D462" t="s">
        <v>47</v>
      </c>
      <c r="E462">
        <v>360</v>
      </c>
      <c r="F462">
        <v>250</v>
      </c>
      <c r="G462">
        <v>7</v>
      </c>
      <c r="H462">
        <v>2520</v>
      </c>
      <c r="I462">
        <v>226.8</v>
      </c>
      <c r="J462">
        <v>2293.1999999999998</v>
      </c>
      <c r="K462">
        <v>1800</v>
      </c>
      <c r="L462">
        <v>493.19999999999982</v>
      </c>
      <c r="M462">
        <v>41913</v>
      </c>
      <c r="N462">
        <v>10</v>
      </c>
      <c r="O462" t="s">
        <v>30</v>
      </c>
      <c r="P462" t="s">
        <v>15</v>
      </c>
    </row>
    <row r="463" spans="1:16" x14ac:dyDescent="0.35">
      <c r="A463" t="s">
        <v>10</v>
      </c>
      <c r="B463" t="s">
        <v>18</v>
      </c>
      <c r="C463" t="s">
        <v>42</v>
      </c>
      <c r="D463" t="s">
        <v>47</v>
      </c>
      <c r="E463">
        <v>2682</v>
      </c>
      <c r="F463">
        <v>250</v>
      </c>
      <c r="G463">
        <v>20</v>
      </c>
      <c r="H463">
        <v>53640</v>
      </c>
      <c r="I463">
        <v>4827.6000000000004</v>
      </c>
      <c r="J463">
        <v>48812.4</v>
      </c>
      <c r="K463">
        <v>26820</v>
      </c>
      <c r="L463">
        <v>21992.400000000001</v>
      </c>
      <c r="M463">
        <v>41579</v>
      </c>
      <c r="N463">
        <v>11</v>
      </c>
      <c r="O463" t="s">
        <v>31</v>
      </c>
      <c r="P463" t="s">
        <v>14</v>
      </c>
    </row>
    <row r="464" spans="1:16" x14ac:dyDescent="0.35">
      <c r="A464" t="s">
        <v>10</v>
      </c>
      <c r="B464" t="s">
        <v>20</v>
      </c>
      <c r="C464" t="s">
        <v>42</v>
      </c>
      <c r="D464" t="s">
        <v>47</v>
      </c>
      <c r="E464">
        <v>521</v>
      </c>
      <c r="F464">
        <v>250</v>
      </c>
      <c r="G464">
        <v>7</v>
      </c>
      <c r="H464">
        <v>3647</v>
      </c>
      <c r="I464">
        <v>328.23</v>
      </c>
      <c r="J464">
        <v>3318.77</v>
      </c>
      <c r="K464">
        <v>2605</v>
      </c>
      <c r="L464">
        <v>713.77</v>
      </c>
      <c r="M464">
        <v>41974</v>
      </c>
      <c r="N464">
        <v>12</v>
      </c>
      <c r="O464" t="s">
        <v>32</v>
      </c>
      <c r="P464" t="s">
        <v>15</v>
      </c>
    </row>
    <row r="465" spans="1:16" x14ac:dyDescent="0.35">
      <c r="A465" t="s">
        <v>10</v>
      </c>
      <c r="B465" t="s">
        <v>20</v>
      </c>
      <c r="C465" t="s">
        <v>43</v>
      </c>
      <c r="D465" t="s">
        <v>47</v>
      </c>
      <c r="E465">
        <v>1038</v>
      </c>
      <c r="F465">
        <v>260</v>
      </c>
      <c r="G465">
        <v>20</v>
      </c>
      <c r="H465">
        <v>20760</v>
      </c>
      <c r="I465">
        <v>1868.4</v>
      </c>
      <c r="J465">
        <v>18891.599999999999</v>
      </c>
      <c r="K465">
        <v>10380</v>
      </c>
      <c r="L465">
        <v>8511.5999999999985</v>
      </c>
      <c r="M465">
        <v>41791</v>
      </c>
      <c r="N465">
        <v>6</v>
      </c>
      <c r="O465" t="s">
        <v>26</v>
      </c>
      <c r="P465" t="s">
        <v>15</v>
      </c>
    </row>
    <row r="466" spans="1:16" x14ac:dyDescent="0.35">
      <c r="A466" t="s">
        <v>8</v>
      </c>
      <c r="B466" t="s">
        <v>16</v>
      </c>
      <c r="C466" t="s">
        <v>43</v>
      </c>
      <c r="D466" t="s">
        <v>47</v>
      </c>
      <c r="E466">
        <v>1630.5</v>
      </c>
      <c r="F466">
        <v>260</v>
      </c>
      <c r="G466">
        <v>15</v>
      </c>
      <c r="H466">
        <v>24457.5</v>
      </c>
      <c r="I466">
        <v>2201.1750000000002</v>
      </c>
      <c r="J466">
        <v>22256.324999999997</v>
      </c>
      <c r="K466">
        <v>16305</v>
      </c>
      <c r="L466">
        <v>5951.3249999999989</v>
      </c>
      <c r="M466">
        <v>41821</v>
      </c>
      <c r="N466">
        <v>7</v>
      </c>
      <c r="O466" t="s">
        <v>27</v>
      </c>
      <c r="P466" t="s">
        <v>15</v>
      </c>
    </row>
    <row r="467" spans="1:16" x14ac:dyDescent="0.35">
      <c r="A467" t="s">
        <v>11</v>
      </c>
      <c r="B467" t="s">
        <v>18</v>
      </c>
      <c r="C467" t="s">
        <v>43</v>
      </c>
      <c r="D467" t="s">
        <v>47</v>
      </c>
      <c r="E467">
        <v>306</v>
      </c>
      <c r="F467">
        <v>260</v>
      </c>
      <c r="G467">
        <v>12</v>
      </c>
      <c r="H467">
        <v>3672</v>
      </c>
      <c r="I467">
        <v>330.48</v>
      </c>
      <c r="J467">
        <v>3341.52</v>
      </c>
      <c r="K467">
        <v>918</v>
      </c>
      <c r="L467">
        <v>2423.52</v>
      </c>
      <c r="M467">
        <v>41609</v>
      </c>
      <c r="N467">
        <v>12</v>
      </c>
      <c r="O467" t="s">
        <v>32</v>
      </c>
      <c r="P467" t="s">
        <v>14</v>
      </c>
    </row>
    <row r="468" spans="1:16" x14ac:dyDescent="0.35">
      <c r="A468" t="s">
        <v>11</v>
      </c>
      <c r="B468" t="s">
        <v>17</v>
      </c>
      <c r="C468" t="s">
        <v>38</v>
      </c>
      <c r="D468" t="s">
        <v>48</v>
      </c>
      <c r="E468">
        <v>386</v>
      </c>
      <c r="F468">
        <v>3</v>
      </c>
      <c r="G468">
        <v>12</v>
      </c>
      <c r="H468">
        <v>4632</v>
      </c>
      <c r="I468">
        <v>463.2</v>
      </c>
      <c r="J468">
        <v>4168.8</v>
      </c>
      <c r="K468">
        <v>1158</v>
      </c>
      <c r="L468">
        <v>3010.8</v>
      </c>
      <c r="M468">
        <v>41548</v>
      </c>
      <c r="N468">
        <v>10</v>
      </c>
      <c r="O468" t="s">
        <v>30</v>
      </c>
      <c r="P468" t="s">
        <v>14</v>
      </c>
    </row>
    <row r="469" spans="1:16" x14ac:dyDescent="0.35">
      <c r="A469" t="s">
        <v>10</v>
      </c>
      <c r="B469" t="s">
        <v>17</v>
      </c>
      <c r="C469" t="s">
        <v>39</v>
      </c>
      <c r="D469" t="s">
        <v>48</v>
      </c>
      <c r="E469">
        <v>2328</v>
      </c>
      <c r="F469">
        <v>5</v>
      </c>
      <c r="G469">
        <v>7</v>
      </c>
      <c r="H469">
        <v>16296</v>
      </c>
      <c r="I469">
        <v>1629.6</v>
      </c>
      <c r="J469">
        <v>14666.4</v>
      </c>
      <c r="K469">
        <v>11640</v>
      </c>
      <c r="L469">
        <v>3026.3999999999996</v>
      </c>
      <c r="M469">
        <v>41883</v>
      </c>
      <c r="N469">
        <v>9</v>
      </c>
      <c r="O469" t="s">
        <v>29</v>
      </c>
      <c r="P469" t="s">
        <v>15</v>
      </c>
    </row>
    <row r="470" spans="1:16" x14ac:dyDescent="0.35">
      <c r="A470" t="s">
        <v>11</v>
      </c>
      <c r="B470" t="s">
        <v>17</v>
      </c>
      <c r="C470" t="s">
        <v>40</v>
      </c>
      <c r="D470" t="s">
        <v>48</v>
      </c>
      <c r="E470">
        <v>386</v>
      </c>
      <c r="F470">
        <v>10</v>
      </c>
      <c r="G470">
        <v>12</v>
      </c>
      <c r="H470">
        <v>4632</v>
      </c>
      <c r="I470">
        <v>463.2</v>
      </c>
      <c r="J470">
        <v>4168.8</v>
      </c>
      <c r="K470">
        <v>1158</v>
      </c>
      <c r="L470">
        <v>3010.8</v>
      </c>
      <c r="M470">
        <v>41548</v>
      </c>
      <c r="N470">
        <v>10</v>
      </c>
      <c r="O470" t="s">
        <v>30</v>
      </c>
      <c r="P470" t="s">
        <v>14</v>
      </c>
    </row>
    <row r="471" spans="1:16" x14ac:dyDescent="0.35">
      <c r="A471" t="s">
        <v>9</v>
      </c>
      <c r="B471" t="s">
        <v>17</v>
      </c>
      <c r="C471" t="s">
        <v>38</v>
      </c>
      <c r="D471" t="s">
        <v>48</v>
      </c>
      <c r="E471">
        <v>3445.5</v>
      </c>
      <c r="F471">
        <v>3</v>
      </c>
      <c r="G471">
        <v>125</v>
      </c>
      <c r="H471">
        <v>430687.5</v>
      </c>
      <c r="I471">
        <v>43068.75</v>
      </c>
      <c r="J471">
        <v>387618.75</v>
      </c>
      <c r="K471">
        <v>413460</v>
      </c>
      <c r="L471">
        <v>-25841.25</v>
      </c>
      <c r="M471">
        <v>41730</v>
      </c>
      <c r="N471">
        <v>4</v>
      </c>
      <c r="O471" t="s">
        <v>24</v>
      </c>
      <c r="P471" t="s">
        <v>15</v>
      </c>
    </row>
    <row r="472" spans="1:16" x14ac:dyDescent="0.35">
      <c r="A472" t="s">
        <v>9</v>
      </c>
      <c r="B472" t="s">
        <v>18</v>
      </c>
      <c r="C472" t="s">
        <v>38</v>
      </c>
      <c r="D472" t="s">
        <v>48</v>
      </c>
      <c r="E472">
        <v>1482</v>
      </c>
      <c r="F472">
        <v>3</v>
      </c>
      <c r="G472">
        <v>125</v>
      </c>
      <c r="H472">
        <v>185250</v>
      </c>
      <c r="I472">
        <v>18525</v>
      </c>
      <c r="J472">
        <v>166725</v>
      </c>
      <c r="K472">
        <v>177840</v>
      </c>
      <c r="L472">
        <v>-11115</v>
      </c>
      <c r="M472">
        <v>41609</v>
      </c>
      <c r="N472">
        <v>12</v>
      </c>
      <c r="O472" t="s">
        <v>32</v>
      </c>
      <c r="P472" t="s">
        <v>14</v>
      </c>
    </row>
    <row r="473" spans="1:16" x14ac:dyDescent="0.35">
      <c r="A473" t="s">
        <v>10</v>
      </c>
      <c r="B473" t="s">
        <v>17</v>
      </c>
      <c r="C473" t="s">
        <v>39</v>
      </c>
      <c r="D473" t="s">
        <v>48</v>
      </c>
      <c r="E473">
        <v>2313</v>
      </c>
      <c r="F473">
        <v>5</v>
      </c>
      <c r="G473">
        <v>350</v>
      </c>
      <c r="H473">
        <v>809550</v>
      </c>
      <c r="I473">
        <v>80955</v>
      </c>
      <c r="J473">
        <v>728595</v>
      </c>
      <c r="K473">
        <v>601380</v>
      </c>
      <c r="L473">
        <v>127215</v>
      </c>
      <c r="M473">
        <v>41760</v>
      </c>
      <c r="N473">
        <v>5</v>
      </c>
      <c r="O473" t="s">
        <v>25</v>
      </c>
      <c r="P473" t="s">
        <v>15</v>
      </c>
    </row>
    <row r="474" spans="1:16" x14ac:dyDescent="0.35">
      <c r="A474" t="s">
        <v>9</v>
      </c>
      <c r="B474" t="s">
        <v>17</v>
      </c>
      <c r="C474" t="s">
        <v>39</v>
      </c>
      <c r="D474" t="s">
        <v>48</v>
      </c>
      <c r="E474">
        <v>1804</v>
      </c>
      <c r="F474">
        <v>5</v>
      </c>
      <c r="G474">
        <v>125</v>
      </c>
      <c r="H474">
        <v>225500</v>
      </c>
      <c r="I474">
        <v>22550</v>
      </c>
      <c r="J474">
        <v>202950</v>
      </c>
      <c r="K474">
        <v>216480</v>
      </c>
      <c r="L474">
        <v>-13530</v>
      </c>
      <c r="M474">
        <v>41579</v>
      </c>
      <c r="N474">
        <v>11</v>
      </c>
      <c r="O474" t="s">
        <v>31</v>
      </c>
      <c r="P474" t="s">
        <v>14</v>
      </c>
    </row>
    <row r="475" spans="1:16" x14ac:dyDescent="0.35">
      <c r="A475" t="s">
        <v>8</v>
      </c>
      <c r="B475" t="s">
        <v>18</v>
      </c>
      <c r="C475" t="s">
        <v>39</v>
      </c>
      <c r="D475" t="s">
        <v>48</v>
      </c>
      <c r="E475">
        <v>2072</v>
      </c>
      <c r="F475">
        <v>5</v>
      </c>
      <c r="G475">
        <v>15</v>
      </c>
      <c r="H475">
        <v>31080</v>
      </c>
      <c r="I475">
        <v>3108</v>
      </c>
      <c r="J475">
        <v>27972</v>
      </c>
      <c r="K475">
        <v>20720</v>
      </c>
      <c r="L475">
        <v>7252</v>
      </c>
      <c r="M475">
        <v>41974</v>
      </c>
      <c r="N475">
        <v>12</v>
      </c>
      <c r="O475" t="s">
        <v>32</v>
      </c>
      <c r="P475" t="s">
        <v>15</v>
      </c>
    </row>
    <row r="476" spans="1:16" x14ac:dyDescent="0.35">
      <c r="A476" t="s">
        <v>10</v>
      </c>
      <c r="B476" t="s">
        <v>18</v>
      </c>
      <c r="C476" t="s">
        <v>40</v>
      </c>
      <c r="D476" t="s">
        <v>48</v>
      </c>
      <c r="E476">
        <v>1954</v>
      </c>
      <c r="F476">
        <v>10</v>
      </c>
      <c r="G476">
        <v>20</v>
      </c>
      <c r="H476">
        <v>39080</v>
      </c>
      <c r="I476">
        <v>3908</v>
      </c>
      <c r="J476">
        <v>35172</v>
      </c>
      <c r="K476">
        <v>19540</v>
      </c>
      <c r="L476">
        <v>15632</v>
      </c>
      <c r="M476">
        <v>41699</v>
      </c>
      <c r="N476">
        <v>3</v>
      </c>
      <c r="O476" t="s">
        <v>23</v>
      </c>
      <c r="P476" t="s">
        <v>15</v>
      </c>
    </row>
    <row r="477" spans="1:16" x14ac:dyDescent="0.35">
      <c r="A477" t="s">
        <v>7</v>
      </c>
      <c r="B477" t="s">
        <v>20</v>
      </c>
      <c r="C477" t="s">
        <v>40</v>
      </c>
      <c r="D477" t="s">
        <v>48</v>
      </c>
      <c r="E477">
        <v>591</v>
      </c>
      <c r="F477">
        <v>10</v>
      </c>
      <c r="G477">
        <v>300</v>
      </c>
      <c r="H477">
        <v>177300</v>
      </c>
      <c r="I477">
        <v>17730</v>
      </c>
      <c r="J477">
        <v>159570</v>
      </c>
      <c r="K477">
        <v>147750</v>
      </c>
      <c r="L477">
        <v>11820</v>
      </c>
      <c r="M477">
        <v>41760</v>
      </c>
      <c r="N477">
        <v>5</v>
      </c>
      <c r="O477" t="s">
        <v>25</v>
      </c>
      <c r="P477" t="s">
        <v>15</v>
      </c>
    </row>
    <row r="478" spans="1:16" x14ac:dyDescent="0.35">
      <c r="A478" t="s">
        <v>8</v>
      </c>
      <c r="B478" t="s">
        <v>18</v>
      </c>
      <c r="C478" t="s">
        <v>40</v>
      </c>
      <c r="D478" t="s">
        <v>48</v>
      </c>
      <c r="E478">
        <v>2167</v>
      </c>
      <c r="F478">
        <v>10</v>
      </c>
      <c r="G478">
        <v>15</v>
      </c>
      <c r="H478">
        <v>32505</v>
      </c>
      <c r="I478">
        <v>3250.5</v>
      </c>
      <c r="J478">
        <v>29254.5</v>
      </c>
      <c r="K478">
        <v>21670</v>
      </c>
      <c r="L478">
        <v>7584.5</v>
      </c>
      <c r="M478">
        <v>41548</v>
      </c>
      <c r="N478">
        <v>10</v>
      </c>
      <c r="O478" t="s">
        <v>30</v>
      </c>
      <c r="P478" t="s">
        <v>14</v>
      </c>
    </row>
    <row r="479" spans="1:16" x14ac:dyDescent="0.35">
      <c r="A479" t="s">
        <v>10</v>
      </c>
      <c r="B479" t="s">
        <v>19</v>
      </c>
      <c r="C479" t="s">
        <v>40</v>
      </c>
      <c r="D479" t="s">
        <v>48</v>
      </c>
      <c r="E479">
        <v>241</v>
      </c>
      <c r="F479">
        <v>10</v>
      </c>
      <c r="G479">
        <v>20</v>
      </c>
      <c r="H479">
        <v>4820</v>
      </c>
      <c r="I479">
        <v>482</v>
      </c>
      <c r="J479">
        <v>4338</v>
      </c>
      <c r="K479">
        <v>2410</v>
      </c>
      <c r="L479">
        <v>1928</v>
      </c>
      <c r="M479">
        <v>41913</v>
      </c>
      <c r="N479">
        <v>10</v>
      </c>
      <c r="O479" t="s">
        <v>30</v>
      </c>
      <c r="P479" t="s">
        <v>15</v>
      </c>
    </row>
    <row r="480" spans="1:16" x14ac:dyDescent="0.35">
      <c r="A480" t="s">
        <v>8</v>
      </c>
      <c r="B480" t="s">
        <v>19</v>
      </c>
      <c r="C480" t="s">
        <v>41</v>
      </c>
      <c r="D480" t="s">
        <v>48</v>
      </c>
      <c r="E480">
        <v>681</v>
      </c>
      <c r="F480">
        <v>120</v>
      </c>
      <c r="G480">
        <v>15</v>
      </c>
      <c r="H480">
        <v>10215</v>
      </c>
      <c r="I480">
        <v>1021.5</v>
      </c>
      <c r="J480">
        <v>9193.5</v>
      </c>
      <c r="K480">
        <v>6810</v>
      </c>
      <c r="L480">
        <v>2383.5</v>
      </c>
      <c r="M480">
        <v>41640</v>
      </c>
      <c r="N480">
        <v>1</v>
      </c>
      <c r="O480" t="s">
        <v>21</v>
      </c>
      <c r="P480" t="s">
        <v>15</v>
      </c>
    </row>
    <row r="481" spans="1:16" x14ac:dyDescent="0.35">
      <c r="A481" t="s">
        <v>8</v>
      </c>
      <c r="B481" t="s">
        <v>19</v>
      </c>
      <c r="C481" t="s">
        <v>41</v>
      </c>
      <c r="D481" t="s">
        <v>48</v>
      </c>
      <c r="E481">
        <v>510</v>
      </c>
      <c r="F481">
        <v>120</v>
      </c>
      <c r="G481">
        <v>15</v>
      </c>
      <c r="H481">
        <v>7650</v>
      </c>
      <c r="I481">
        <v>765</v>
      </c>
      <c r="J481">
        <v>6885</v>
      </c>
      <c r="K481">
        <v>5100</v>
      </c>
      <c r="L481">
        <v>1785</v>
      </c>
      <c r="M481">
        <v>41730</v>
      </c>
      <c r="N481">
        <v>4</v>
      </c>
      <c r="O481" t="s">
        <v>24</v>
      </c>
      <c r="P481" t="s">
        <v>15</v>
      </c>
    </row>
    <row r="482" spans="1:16" x14ac:dyDescent="0.35">
      <c r="A482" t="s">
        <v>8</v>
      </c>
      <c r="B482" t="s">
        <v>17</v>
      </c>
      <c r="C482" t="s">
        <v>41</v>
      </c>
      <c r="D482" t="s">
        <v>48</v>
      </c>
      <c r="E482">
        <v>790</v>
      </c>
      <c r="F482">
        <v>120</v>
      </c>
      <c r="G482">
        <v>15</v>
      </c>
      <c r="H482">
        <v>11850</v>
      </c>
      <c r="I482">
        <v>1185</v>
      </c>
      <c r="J482">
        <v>10665</v>
      </c>
      <c r="K482">
        <v>7900</v>
      </c>
      <c r="L482">
        <v>2765</v>
      </c>
      <c r="M482">
        <v>41760</v>
      </c>
      <c r="N482">
        <v>5</v>
      </c>
      <c r="O482" t="s">
        <v>25</v>
      </c>
      <c r="P482" t="s">
        <v>15</v>
      </c>
    </row>
    <row r="483" spans="1:16" x14ac:dyDescent="0.35">
      <c r="A483" t="s">
        <v>10</v>
      </c>
      <c r="B483" t="s">
        <v>18</v>
      </c>
      <c r="C483" t="s">
        <v>41</v>
      </c>
      <c r="D483" t="s">
        <v>48</v>
      </c>
      <c r="E483">
        <v>639</v>
      </c>
      <c r="F483">
        <v>120</v>
      </c>
      <c r="G483">
        <v>350</v>
      </c>
      <c r="H483">
        <v>223650</v>
      </c>
      <c r="I483">
        <v>22365</v>
      </c>
      <c r="J483">
        <v>201285</v>
      </c>
      <c r="K483">
        <v>166140</v>
      </c>
      <c r="L483">
        <v>35145</v>
      </c>
      <c r="M483">
        <v>41821</v>
      </c>
      <c r="N483">
        <v>7</v>
      </c>
      <c r="O483" t="s">
        <v>27</v>
      </c>
      <c r="P483" t="s">
        <v>15</v>
      </c>
    </row>
    <row r="484" spans="1:16" x14ac:dyDescent="0.35">
      <c r="A484" t="s">
        <v>9</v>
      </c>
      <c r="B484" t="s">
        <v>17</v>
      </c>
      <c r="C484" t="s">
        <v>41</v>
      </c>
      <c r="D484" t="s">
        <v>48</v>
      </c>
      <c r="E484">
        <v>1596</v>
      </c>
      <c r="F484">
        <v>120</v>
      </c>
      <c r="G484">
        <v>125</v>
      </c>
      <c r="H484">
        <v>199500</v>
      </c>
      <c r="I484">
        <v>19950</v>
      </c>
      <c r="J484">
        <v>179550</v>
      </c>
      <c r="K484">
        <v>191520</v>
      </c>
      <c r="L484">
        <v>-11970</v>
      </c>
      <c r="M484">
        <v>41883</v>
      </c>
      <c r="N484">
        <v>9</v>
      </c>
      <c r="O484" t="s">
        <v>29</v>
      </c>
      <c r="P484" t="s">
        <v>15</v>
      </c>
    </row>
    <row r="485" spans="1:16" x14ac:dyDescent="0.35">
      <c r="A485" t="s">
        <v>7</v>
      </c>
      <c r="B485" t="s">
        <v>17</v>
      </c>
      <c r="C485" t="s">
        <v>41</v>
      </c>
      <c r="D485" t="s">
        <v>48</v>
      </c>
      <c r="E485">
        <v>2294</v>
      </c>
      <c r="F485">
        <v>120</v>
      </c>
      <c r="G485">
        <v>300</v>
      </c>
      <c r="H485">
        <v>688200</v>
      </c>
      <c r="I485">
        <v>68820</v>
      </c>
      <c r="J485">
        <v>619380</v>
      </c>
      <c r="K485">
        <v>573500</v>
      </c>
      <c r="L485">
        <v>45880</v>
      </c>
      <c r="M485">
        <v>41548</v>
      </c>
      <c r="N485">
        <v>10</v>
      </c>
      <c r="O485" t="s">
        <v>30</v>
      </c>
      <c r="P485" t="s">
        <v>14</v>
      </c>
    </row>
    <row r="486" spans="1:16" x14ac:dyDescent="0.35">
      <c r="A486" t="s">
        <v>10</v>
      </c>
      <c r="B486" t="s">
        <v>19</v>
      </c>
      <c r="C486" t="s">
        <v>41</v>
      </c>
      <c r="D486" t="s">
        <v>48</v>
      </c>
      <c r="E486">
        <v>241</v>
      </c>
      <c r="F486">
        <v>120</v>
      </c>
      <c r="G486">
        <v>20</v>
      </c>
      <c r="H486">
        <v>4820</v>
      </c>
      <c r="I486">
        <v>482</v>
      </c>
      <c r="J486">
        <v>4338</v>
      </c>
      <c r="K486">
        <v>2410</v>
      </c>
      <c r="L486">
        <v>1928</v>
      </c>
      <c r="M486">
        <v>41913</v>
      </c>
      <c r="N486">
        <v>10</v>
      </c>
      <c r="O486" t="s">
        <v>30</v>
      </c>
      <c r="P486" t="s">
        <v>15</v>
      </c>
    </row>
    <row r="487" spans="1:16" x14ac:dyDescent="0.35">
      <c r="A487" t="s">
        <v>10</v>
      </c>
      <c r="B487" t="s">
        <v>19</v>
      </c>
      <c r="C487" t="s">
        <v>41</v>
      </c>
      <c r="D487" t="s">
        <v>48</v>
      </c>
      <c r="E487">
        <v>2665</v>
      </c>
      <c r="F487">
        <v>120</v>
      </c>
      <c r="G487">
        <v>7</v>
      </c>
      <c r="H487">
        <v>18655</v>
      </c>
      <c r="I487">
        <v>1865.5</v>
      </c>
      <c r="J487">
        <v>16789.5</v>
      </c>
      <c r="K487">
        <v>13325</v>
      </c>
      <c r="L487">
        <v>3464.5</v>
      </c>
      <c r="M487">
        <v>41944</v>
      </c>
      <c r="N487">
        <v>11</v>
      </c>
      <c r="O487" t="s">
        <v>31</v>
      </c>
      <c r="P487" t="s">
        <v>15</v>
      </c>
    </row>
    <row r="488" spans="1:16" x14ac:dyDescent="0.35">
      <c r="A488" t="s">
        <v>9</v>
      </c>
      <c r="B488" t="s">
        <v>16</v>
      </c>
      <c r="C488" t="s">
        <v>41</v>
      </c>
      <c r="D488" t="s">
        <v>48</v>
      </c>
      <c r="E488">
        <v>1916</v>
      </c>
      <c r="F488">
        <v>120</v>
      </c>
      <c r="G488">
        <v>125</v>
      </c>
      <c r="H488">
        <v>239500</v>
      </c>
      <c r="I488">
        <v>23950</v>
      </c>
      <c r="J488">
        <v>215550</v>
      </c>
      <c r="K488">
        <v>229920</v>
      </c>
      <c r="L488">
        <v>-14370</v>
      </c>
      <c r="M488">
        <v>41609</v>
      </c>
      <c r="N488">
        <v>12</v>
      </c>
      <c r="O488" t="s">
        <v>32</v>
      </c>
      <c r="P488" t="s">
        <v>14</v>
      </c>
    </row>
    <row r="489" spans="1:16" x14ac:dyDescent="0.35">
      <c r="A489" t="s">
        <v>7</v>
      </c>
      <c r="B489" t="s">
        <v>18</v>
      </c>
      <c r="C489" t="s">
        <v>41</v>
      </c>
      <c r="D489" t="s">
        <v>48</v>
      </c>
      <c r="E489">
        <v>853</v>
      </c>
      <c r="F489">
        <v>120</v>
      </c>
      <c r="G489">
        <v>300</v>
      </c>
      <c r="H489">
        <v>255900</v>
      </c>
      <c r="I489">
        <v>25590</v>
      </c>
      <c r="J489">
        <v>230310</v>
      </c>
      <c r="K489">
        <v>213250</v>
      </c>
      <c r="L489">
        <v>17060</v>
      </c>
      <c r="M489">
        <v>41974</v>
      </c>
      <c r="N489">
        <v>12</v>
      </c>
      <c r="O489" t="s">
        <v>32</v>
      </c>
      <c r="P489" t="s">
        <v>15</v>
      </c>
    </row>
    <row r="490" spans="1:16" x14ac:dyDescent="0.35">
      <c r="A490" t="s">
        <v>9</v>
      </c>
      <c r="B490" t="s">
        <v>20</v>
      </c>
      <c r="C490" t="s">
        <v>42</v>
      </c>
      <c r="D490" t="s">
        <v>48</v>
      </c>
      <c r="E490">
        <v>341</v>
      </c>
      <c r="F490">
        <v>250</v>
      </c>
      <c r="G490">
        <v>125</v>
      </c>
      <c r="H490">
        <v>42625</v>
      </c>
      <c r="I490">
        <v>4262.5</v>
      </c>
      <c r="J490">
        <v>38362.5</v>
      </c>
      <c r="K490">
        <v>40920</v>
      </c>
      <c r="L490">
        <v>-2557.5</v>
      </c>
      <c r="M490">
        <v>41760</v>
      </c>
      <c r="N490">
        <v>5</v>
      </c>
      <c r="O490" t="s">
        <v>25</v>
      </c>
      <c r="P490" t="s">
        <v>15</v>
      </c>
    </row>
    <row r="491" spans="1:16" x14ac:dyDescent="0.35">
      <c r="A491" t="s">
        <v>8</v>
      </c>
      <c r="B491" t="s">
        <v>20</v>
      </c>
      <c r="C491" t="s">
        <v>42</v>
      </c>
      <c r="D491" t="s">
        <v>48</v>
      </c>
      <c r="E491">
        <v>641</v>
      </c>
      <c r="F491">
        <v>250</v>
      </c>
      <c r="G491">
        <v>15</v>
      </c>
      <c r="H491">
        <v>9615</v>
      </c>
      <c r="I491">
        <v>961.5</v>
      </c>
      <c r="J491">
        <v>8653.5</v>
      </c>
      <c r="K491">
        <v>6410</v>
      </c>
      <c r="L491">
        <v>2243.5</v>
      </c>
      <c r="M491">
        <v>41821</v>
      </c>
      <c r="N491">
        <v>7</v>
      </c>
      <c r="O491" t="s">
        <v>27</v>
      </c>
      <c r="P491" t="s">
        <v>15</v>
      </c>
    </row>
    <row r="492" spans="1:16" x14ac:dyDescent="0.35">
      <c r="A492" t="s">
        <v>10</v>
      </c>
      <c r="B492" t="s">
        <v>17</v>
      </c>
      <c r="C492" t="s">
        <v>42</v>
      </c>
      <c r="D492" t="s">
        <v>48</v>
      </c>
      <c r="E492">
        <v>2807</v>
      </c>
      <c r="F492">
        <v>250</v>
      </c>
      <c r="G492">
        <v>350</v>
      </c>
      <c r="H492">
        <v>982450</v>
      </c>
      <c r="I492">
        <v>98245</v>
      </c>
      <c r="J492">
        <v>884205</v>
      </c>
      <c r="K492">
        <v>729820</v>
      </c>
      <c r="L492">
        <v>154385</v>
      </c>
      <c r="M492">
        <v>41852</v>
      </c>
      <c r="N492">
        <v>8</v>
      </c>
      <c r="O492" t="s">
        <v>28</v>
      </c>
      <c r="P492" t="s">
        <v>15</v>
      </c>
    </row>
    <row r="493" spans="1:16" x14ac:dyDescent="0.35">
      <c r="A493" t="s">
        <v>7</v>
      </c>
      <c r="B493" t="s">
        <v>20</v>
      </c>
      <c r="C493" t="s">
        <v>42</v>
      </c>
      <c r="D493" t="s">
        <v>48</v>
      </c>
      <c r="E493">
        <v>432</v>
      </c>
      <c r="F493">
        <v>250</v>
      </c>
      <c r="G493">
        <v>300</v>
      </c>
      <c r="H493">
        <v>129600</v>
      </c>
      <c r="I493">
        <v>12960</v>
      </c>
      <c r="J493">
        <v>116640</v>
      </c>
      <c r="K493">
        <v>108000</v>
      </c>
      <c r="L493">
        <v>8640</v>
      </c>
      <c r="M493">
        <v>41883</v>
      </c>
      <c r="N493">
        <v>9</v>
      </c>
      <c r="O493" t="s">
        <v>29</v>
      </c>
      <c r="P493" t="s">
        <v>15</v>
      </c>
    </row>
    <row r="494" spans="1:16" x14ac:dyDescent="0.35">
      <c r="A494" t="s">
        <v>7</v>
      </c>
      <c r="B494" t="s">
        <v>17</v>
      </c>
      <c r="C494" t="s">
        <v>42</v>
      </c>
      <c r="D494" t="s">
        <v>48</v>
      </c>
      <c r="E494">
        <v>2294</v>
      </c>
      <c r="F494">
        <v>250</v>
      </c>
      <c r="G494">
        <v>300</v>
      </c>
      <c r="H494">
        <v>688200</v>
      </c>
      <c r="I494">
        <v>68820</v>
      </c>
      <c r="J494">
        <v>619380</v>
      </c>
      <c r="K494">
        <v>573500</v>
      </c>
      <c r="L494">
        <v>45880</v>
      </c>
      <c r="M494">
        <v>41548</v>
      </c>
      <c r="N494">
        <v>10</v>
      </c>
      <c r="O494" t="s">
        <v>30</v>
      </c>
      <c r="P494" t="s">
        <v>14</v>
      </c>
    </row>
    <row r="495" spans="1:16" x14ac:dyDescent="0.35">
      <c r="A495" t="s">
        <v>8</v>
      </c>
      <c r="B495" t="s">
        <v>18</v>
      </c>
      <c r="C495" t="s">
        <v>42</v>
      </c>
      <c r="D495" t="s">
        <v>48</v>
      </c>
      <c r="E495">
        <v>2167</v>
      </c>
      <c r="F495">
        <v>250</v>
      </c>
      <c r="G495">
        <v>15</v>
      </c>
      <c r="H495">
        <v>32505</v>
      </c>
      <c r="I495">
        <v>3250.5</v>
      </c>
      <c r="J495">
        <v>29254.5</v>
      </c>
      <c r="K495">
        <v>21670</v>
      </c>
      <c r="L495">
        <v>7584.5</v>
      </c>
      <c r="M495">
        <v>41548</v>
      </c>
      <c r="N495">
        <v>10</v>
      </c>
      <c r="O495" t="s">
        <v>30</v>
      </c>
      <c r="P495" t="s">
        <v>14</v>
      </c>
    </row>
    <row r="496" spans="1:16" x14ac:dyDescent="0.35">
      <c r="A496" t="s">
        <v>9</v>
      </c>
      <c r="B496" t="s">
        <v>16</v>
      </c>
      <c r="C496" t="s">
        <v>42</v>
      </c>
      <c r="D496" t="s">
        <v>48</v>
      </c>
      <c r="E496">
        <v>2529</v>
      </c>
      <c r="F496">
        <v>250</v>
      </c>
      <c r="G496">
        <v>125</v>
      </c>
      <c r="H496">
        <v>316125</v>
      </c>
      <c r="I496">
        <v>31612.5</v>
      </c>
      <c r="J496">
        <v>284512.5</v>
      </c>
      <c r="K496">
        <v>303480</v>
      </c>
      <c r="L496">
        <v>-18967.5</v>
      </c>
      <c r="M496">
        <v>41944</v>
      </c>
      <c r="N496">
        <v>11</v>
      </c>
      <c r="O496" t="s">
        <v>31</v>
      </c>
      <c r="P496" t="s">
        <v>15</v>
      </c>
    </row>
    <row r="497" spans="1:16" x14ac:dyDescent="0.35">
      <c r="A497" t="s">
        <v>10</v>
      </c>
      <c r="B497" t="s">
        <v>19</v>
      </c>
      <c r="C497" t="s">
        <v>42</v>
      </c>
      <c r="D497" t="s">
        <v>48</v>
      </c>
      <c r="E497">
        <v>1870</v>
      </c>
      <c r="F497">
        <v>250</v>
      </c>
      <c r="G497">
        <v>350</v>
      </c>
      <c r="H497">
        <v>654500</v>
      </c>
      <c r="I497">
        <v>65450</v>
      </c>
      <c r="J497">
        <v>589050</v>
      </c>
      <c r="K497">
        <v>486200</v>
      </c>
      <c r="L497">
        <v>102850</v>
      </c>
      <c r="M497">
        <v>41609</v>
      </c>
      <c r="N497">
        <v>12</v>
      </c>
      <c r="O497" t="s">
        <v>32</v>
      </c>
      <c r="P497" t="s">
        <v>14</v>
      </c>
    </row>
    <row r="498" spans="1:16" x14ac:dyDescent="0.35">
      <c r="A498" t="s">
        <v>9</v>
      </c>
      <c r="B498" t="s">
        <v>17</v>
      </c>
      <c r="C498" t="s">
        <v>43</v>
      </c>
      <c r="D498" t="s">
        <v>48</v>
      </c>
      <c r="E498">
        <v>579</v>
      </c>
      <c r="F498">
        <v>260</v>
      </c>
      <c r="G498">
        <v>125</v>
      </c>
      <c r="H498">
        <v>72375</v>
      </c>
      <c r="I498">
        <v>7237.5</v>
      </c>
      <c r="J498">
        <v>65137.5</v>
      </c>
      <c r="K498">
        <v>69480</v>
      </c>
      <c r="L498">
        <v>-4342.5</v>
      </c>
      <c r="M498">
        <v>41640</v>
      </c>
      <c r="N498">
        <v>1</v>
      </c>
      <c r="O498" t="s">
        <v>21</v>
      </c>
      <c r="P498" t="s">
        <v>15</v>
      </c>
    </row>
    <row r="499" spans="1:16" x14ac:dyDescent="0.35">
      <c r="A499" t="s">
        <v>10</v>
      </c>
      <c r="B499" t="s">
        <v>16</v>
      </c>
      <c r="C499" t="s">
        <v>43</v>
      </c>
      <c r="D499" t="s">
        <v>48</v>
      </c>
      <c r="E499">
        <v>2240</v>
      </c>
      <c r="F499">
        <v>260</v>
      </c>
      <c r="G499">
        <v>350</v>
      </c>
      <c r="H499">
        <v>784000</v>
      </c>
      <c r="I499">
        <v>78400</v>
      </c>
      <c r="J499">
        <v>705600</v>
      </c>
      <c r="K499">
        <v>582400</v>
      </c>
      <c r="L499">
        <v>123200</v>
      </c>
      <c r="M499">
        <v>41671</v>
      </c>
      <c r="N499">
        <v>2</v>
      </c>
      <c r="O499" t="s">
        <v>22</v>
      </c>
      <c r="P499" t="s">
        <v>15</v>
      </c>
    </row>
    <row r="500" spans="1:16" x14ac:dyDescent="0.35">
      <c r="A500" t="s">
        <v>7</v>
      </c>
      <c r="B500" t="s">
        <v>17</v>
      </c>
      <c r="C500" t="s">
        <v>43</v>
      </c>
      <c r="D500" t="s">
        <v>48</v>
      </c>
      <c r="E500">
        <v>2993</v>
      </c>
      <c r="F500">
        <v>260</v>
      </c>
      <c r="G500">
        <v>300</v>
      </c>
      <c r="H500">
        <v>897900</v>
      </c>
      <c r="I500">
        <v>89790</v>
      </c>
      <c r="J500">
        <v>808110</v>
      </c>
      <c r="K500">
        <v>748250</v>
      </c>
      <c r="L500">
        <v>59860</v>
      </c>
      <c r="M500">
        <v>41699</v>
      </c>
      <c r="N500">
        <v>3</v>
      </c>
      <c r="O500" t="s">
        <v>23</v>
      </c>
      <c r="P500" t="s">
        <v>15</v>
      </c>
    </row>
    <row r="501" spans="1:16" x14ac:dyDescent="0.35">
      <c r="A501" t="s">
        <v>11</v>
      </c>
      <c r="B501" t="s">
        <v>16</v>
      </c>
      <c r="C501" t="s">
        <v>43</v>
      </c>
      <c r="D501" t="s">
        <v>48</v>
      </c>
      <c r="E501">
        <v>3520.5</v>
      </c>
      <c r="F501">
        <v>260</v>
      </c>
      <c r="G501">
        <v>12</v>
      </c>
      <c r="H501">
        <v>42246</v>
      </c>
      <c r="I501">
        <v>4224.6000000000004</v>
      </c>
      <c r="J501">
        <v>38021.399999999994</v>
      </c>
      <c r="K501">
        <v>10561.5</v>
      </c>
      <c r="L501">
        <v>27459.899999999998</v>
      </c>
      <c r="M501">
        <v>41730</v>
      </c>
      <c r="N501">
        <v>4</v>
      </c>
      <c r="O501" t="s">
        <v>24</v>
      </c>
      <c r="P501" t="s">
        <v>15</v>
      </c>
    </row>
    <row r="502" spans="1:16" x14ac:dyDescent="0.35">
      <c r="A502" t="s">
        <v>10</v>
      </c>
      <c r="B502" t="s">
        <v>20</v>
      </c>
      <c r="C502" t="s">
        <v>43</v>
      </c>
      <c r="D502" t="s">
        <v>48</v>
      </c>
      <c r="E502">
        <v>2039</v>
      </c>
      <c r="F502">
        <v>260</v>
      </c>
      <c r="G502">
        <v>20</v>
      </c>
      <c r="H502">
        <v>40780</v>
      </c>
      <c r="I502">
        <v>4078</v>
      </c>
      <c r="J502">
        <v>36702</v>
      </c>
      <c r="K502">
        <v>20390</v>
      </c>
      <c r="L502">
        <v>16312</v>
      </c>
      <c r="M502">
        <v>41760</v>
      </c>
      <c r="N502">
        <v>5</v>
      </c>
      <c r="O502" t="s">
        <v>25</v>
      </c>
      <c r="P502" t="s">
        <v>15</v>
      </c>
    </row>
    <row r="503" spans="1:16" x14ac:dyDescent="0.35">
      <c r="A503" t="s">
        <v>11</v>
      </c>
      <c r="B503" t="s">
        <v>19</v>
      </c>
      <c r="C503" t="s">
        <v>43</v>
      </c>
      <c r="D503" t="s">
        <v>48</v>
      </c>
      <c r="E503">
        <v>2574</v>
      </c>
      <c r="F503">
        <v>260</v>
      </c>
      <c r="G503">
        <v>12</v>
      </c>
      <c r="H503">
        <v>30888</v>
      </c>
      <c r="I503">
        <v>3088.8</v>
      </c>
      <c r="J503">
        <v>27799.200000000001</v>
      </c>
      <c r="K503">
        <v>7722</v>
      </c>
      <c r="L503">
        <v>20077.2</v>
      </c>
      <c r="M503">
        <v>41852</v>
      </c>
      <c r="N503">
        <v>8</v>
      </c>
      <c r="O503" t="s">
        <v>28</v>
      </c>
      <c r="P503" t="s">
        <v>15</v>
      </c>
    </row>
    <row r="504" spans="1:16" x14ac:dyDescent="0.35">
      <c r="A504" t="s">
        <v>10</v>
      </c>
      <c r="B504" t="s">
        <v>16</v>
      </c>
      <c r="C504" t="s">
        <v>43</v>
      </c>
      <c r="D504" t="s">
        <v>48</v>
      </c>
      <c r="E504">
        <v>707</v>
      </c>
      <c r="F504">
        <v>260</v>
      </c>
      <c r="G504">
        <v>350</v>
      </c>
      <c r="H504">
        <v>247450</v>
      </c>
      <c r="I504">
        <v>24745</v>
      </c>
      <c r="J504">
        <v>222705</v>
      </c>
      <c r="K504">
        <v>183820</v>
      </c>
      <c r="L504">
        <v>38885</v>
      </c>
      <c r="M504">
        <v>41883</v>
      </c>
      <c r="N504">
        <v>9</v>
      </c>
      <c r="O504" t="s">
        <v>29</v>
      </c>
      <c r="P504" t="s">
        <v>15</v>
      </c>
    </row>
    <row r="505" spans="1:16" x14ac:dyDescent="0.35">
      <c r="A505" t="s">
        <v>8</v>
      </c>
      <c r="B505" t="s">
        <v>18</v>
      </c>
      <c r="C505" t="s">
        <v>43</v>
      </c>
      <c r="D505" t="s">
        <v>48</v>
      </c>
      <c r="E505">
        <v>2072</v>
      </c>
      <c r="F505">
        <v>260</v>
      </c>
      <c r="G505">
        <v>15</v>
      </c>
      <c r="H505">
        <v>31080</v>
      </c>
      <c r="I505">
        <v>3108</v>
      </c>
      <c r="J505">
        <v>27972</v>
      </c>
      <c r="K505">
        <v>20720</v>
      </c>
      <c r="L505">
        <v>7252</v>
      </c>
      <c r="M505">
        <v>41974</v>
      </c>
      <c r="N505">
        <v>12</v>
      </c>
      <c r="O505" t="s">
        <v>32</v>
      </c>
      <c r="P505" t="s">
        <v>15</v>
      </c>
    </row>
    <row r="506" spans="1:16" x14ac:dyDescent="0.35">
      <c r="A506" t="s">
        <v>7</v>
      </c>
      <c r="B506" t="s">
        <v>18</v>
      </c>
      <c r="C506" t="s">
        <v>43</v>
      </c>
      <c r="D506" t="s">
        <v>48</v>
      </c>
      <c r="E506">
        <v>853</v>
      </c>
      <c r="F506">
        <v>260</v>
      </c>
      <c r="G506">
        <v>300</v>
      </c>
      <c r="H506">
        <v>255900</v>
      </c>
      <c r="I506">
        <v>25590</v>
      </c>
      <c r="J506">
        <v>230310</v>
      </c>
      <c r="K506">
        <v>213250</v>
      </c>
      <c r="L506">
        <v>17060</v>
      </c>
      <c r="M506">
        <v>41974</v>
      </c>
      <c r="N506">
        <v>12</v>
      </c>
      <c r="O506" t="s">
        <v>32</v>
      </c>
      <c r="P506" t="s">
        <v>15</v>
      </c>
    </row>
    <row r="507" spans="1:16" x14ac:dyDescent="0.35">
      <c r="A507" t="s">
        <v>11</v>
      </c>
      <c r="B507" t="s">
        <v>18</v>
      </c>
      <c r="C507" t="s">
        <v>38</v>
      </c>
      <c r="D507" t="s">
        <v>48</v>
      </c>
      <c r="E507">
        <v>1198</v>
      </c>
      <c r="F507">
        <v>3</v>
      </c>
      <c r="G507">
        <v>12</v>
      </c>
      <c r="H507">
        <v>14376</v>
      </c>
      <c r="I507">
        <v>1581.36</v>
      </c>
      <c r="J507">
        <v>12794.64</v>
      </c>
      <c r="K507">
        <v>3594</v>
      </c>
      <c r="L507">
        <v>9200.64</v>
      </c>
      <c r="M507">
        <v>41548</v>
      </c>
      <c r="N507">
        <v>10</v>
      </c>
      <c r="O507" t="s">
        <v>30</v>
      </c>
      <c r="P507" t="s">
        <v>14</v>
      </c>
    </row>
    <row r="508" spans="1:16" x14ac:dyDescent="0.35">
      <c r="A508" t="s">
        <v>10</v>
      </c>
      <c r="B508" t="s">
        <v>18</v>
      </c>
      <c r="C508" t="s">
        <v>40</v>
      </c>
      <c r="D508" t="s">
        <v>48</v>
      </c>
      <c r="E508">
        <v>2532</v>
      </c>
      <c r="F508">
        <v>10</v>
      </c>
      <c r="G508">
        <v>7</v>
      </c>
      <c r="H508">
        <v>17724</v>
      </c>
      <c r="I508">
        <v>1949.6399999999999</v>
      </c>
      <c r="J508">
        <v>15774.36</v>
      </c>
      <c r="K508">
        <v>12660</v>
      </c>
      <c r="L508">
        <v>3114.3599999999997</v>
      </c>
      <c r="M508">
        <v>41730</v>
      </c>
      <c r="N508">
        <v>4</v>
      </c>
      <c r="O508" t="s">
        <v>24</v>
      </c>
      <c r="P508" t="s">
        <v>15</v>
      </c>
    </row>
    <row r="509" spans="1:16" x14ac:dyDescent="0.35">
      <c r="A509" t="s">
        <v>11</v>
      </c>
      <c r="B509" t="s">
        <v>18</v>
      </c>
      <c r="C509" t="s">
        <v>40</v>
      </c>
      <c r="D509" t="s">
        <v>48</v>
      </c>
      <c r="E509">
        <v>1198</v>
      </c>
      <c r="F509">
        <v>10</v>
      </c>
      <c r="G509">
        <v>12</v>
      </c>
      <c r="H509">
        <v>14376</v>
      </c>
      <c r="I509">
        <v>1581.36</v>
      </c>
      <c r="J509">
        <v>12794.64</v>
      </c>
      <c r="K509">
        <v>3594</v>
      </c>
      <c r="L509">
        <v>9200.64</v>
      </c>
      <c r="M509">
        <v>41548</v>
      </c>
      <c r="N509">
        <v>10</v>
      </c>
      <c r="O509" t="s">
        <v>30</v>
      </c>
      <c r="P509" t="s">
        <v>14</v>
      </c>
    </row>
    <row r="510" spans="1:16" x14ac:dyDescent="0.35">
      <c r="A510" t="s">
        <v>8</v>
      </c>
      <c r="B510" t="s">
        <v>16</v>
      </c>
      <c r="C510" t="s">
        <v>41</v>
      </c>
      <c r="D510" t="s">
        <v>48</v>
      </c>
      <c r="E510">
        <v>384</v>
      </c>
      <c r="F510">
        <v>120</v>
      </c>
      <c r="G510">
        <v>15</v>
      </c>
      <c r="H510">
        <v>5760</v>
      </c>
      <c r="I510">
        <v>633.59999999999991</v>
      </c>
      <c r="J510">
        <v>5126.3999999999996</v>
      </c>
      <c r="K510">
        <v>3840</v>
      </c>
      <c r="L510">
        <v>1286.3999999999999</v>
      </c>
      <c r="M510">
        <v>41640</v>
      </c>
      <c r="N510">
        <v>1</v>
      </c>
      <c r="O510" t="s">
        <v>21</v>
      </c>
      <c r="P510" t="s">
        <v>15</v>
      </c>
    </row>
    <row r="511" spans="1:16" x14ac:dyDescent="0.35">
      <c r="A511" t="s">
        <v>11</v>
      </c>
      <c r="B511" t="s">
        <v>19</v>
      </c>
      <c r="C511" t="s">
        <v>41</v>
      </c>
      <c r="D511" t="s">
        <v>48</v>
      </c>
      <c r="E511">
        <v>472</v>
      </c>
      <c r="F511">
        <v>120</v>
      </c>
      <c r="G511">
        <v>12</v>
      </c>
      <c r="H511">
        <v>5664</v>
      </c>
      <c r="I511">
        <v>623.04</v>
      </c>
      <c r="J511">
        <v>5040.96</v>
      </c>
      <c r="K511">
        <v>1416</v>
      </c>
      <c r="L511">
        <v>3624.96</v>
      </c>
      <c r="M511">
        <v>41913</v>
      </c>
      <c r="N511">
        <v>10</v>
      </c>
      <c r="O511" t="s">
        <v>30</v>
      </c>
      <c r="P511" t="s">
        <v>15</v>
      </c>
    </row>
    <row r="512" spans="1:16" x14ac:dyDescent="0.35">
      <c r="A512" t="s">
        <v>10</v>
      </c>
      <c r="B512" t="s">
        <v>17</v>
      </c>
      <c r="C512" t="s">
        <v>42</v>
      </c>
      <c r="D512" t="s">
        <v>48</v>
      </c>
      <c r="E512">
        <v>1579</v>
      </c>
      <c r="F512">
        <v>250</v>
      </c>
      <c r="G512">
        <v>7</v>
      </c>
      <c r="H512">
        <v>11053</v>
      </c>
      <c r="I512">
        <v>1215.83</v>
      </c>
      <c r="J512">
        <v>9837.17</v>
      </c>
      <c r="K512">
        <v>7895</v>
      </c>
      <c r="L512">
        <v>1942.17</v>
      </c>
      <c r="M512">
        <v>41699</v>
      </c>
      <c r="N512">
        <v>3</v>
      </c>
      <c r="O512" t="s">
        <v>23</v>
      </c>
      <c r="P512" t="s">
        <v>15</v>
      </c>
    </row>
    <row r="513" spans="1:16" x14ac:dyDescent="0.35">
      <c r="A513" t="s">
        <v>11</v>
      </c>
      <c r="B513" t="s">
        <v>20</v>
      </c>
      <c r="C513" t="s">
        <v>42</v>
      </c>
      <c r="D513" t="s">
        <v>48</v>
      </c>
      <c r="E513">
        <v>1005</v>
      </c>
      <c r="F513">
        <v>250</v>
      </c>
      <c r="G513">
        <v>12</v>
      </c>
      <c r="H513">
        <v>12060</v>
      </c>
      <c r="I513">
        <v>1326.6</v>
      </c>
      <c r="J513">
        <v>10733.4</v>
      </c>
      <c r="K513">
        <v>3015</v>
      </c>
      <c r="L513">
        <v>7718.4</v>
      </c>
      <c r="M513">
        <v>41518</v>
      </c>
      <c r="N513">
        <v>9</v>
      </c>
      <c r="O513" t="s">
        <v>29</v>
      </c>
      <c r="P513" t="s">
        <v>14</v>
      </c>
    </row>
    <row r="514" spans="1:16" x14ac:dyDescent="0.35">
      <c r="A514" t="s">
        <v>8</v>
      </c>
      <c r="B514" t="s">
        <v>17</v>
      </c>
      <c r="C514" t="s">
        <v>43</v>
      </c>
      <c r="D514" t="s">
        <v>48</v>
      </c>
      <c r="E514">
        <v>3199.5</v>
      </c>
      <c r="F514">
        <v>260</v>
      </c>
      <c r="G514">
        <v>15</v>
      </c>
      <c r="H514">
        <v>47992.5</v>
      </c>
      <c r="I514">
        <v>5279.1749999999993</v>
      </c>
      <c r="J514">
        <v>42713.324999999997</v>
      </c>
      <c r="K514">
        <v>31995</v>
      </c>
      <c r="L514">
        <v>10718.324999999999</v>
      </c>
      <c r="M514">
        <v>41821</v>
      </c>
      <c r="N514">
        <v>7</v>
      </c>
      <c r="O514" t="s">
        <v>27</v>
      </c>
      <c r="P514" t="s">
        <v>15</v>
      </c>
    </row>
    <row r="515" spans="1:16" x14ac:dyDescent="0.35">
      <c r="A515" t="s">
        <v>11</v>
      </c>
      <c r="B515" t="s">
        <v>19</v>
      </c>
      <c r="C515" t="s">
        <v>43</v>
      </c>
      <c r="D515" t="s">
        <v>48</v>
      </c>
      <c r="E515">
        <v>472</v>
      </c>
      <c r="F515">
        <v>260</v>
      </c>
      <c r="G515">
        <v>12</v>
      </c>
      <c r="H515">
        <v>5664</v>
      </c>
      <c r="I515">
        <v>623.04</v>
      </c>
      <c r="J515">
        <v>5040.96</v>
      </c>
      <c r="K515">
        <v>1416</v>
      </c>
      <c r="L515">
        <v>3624.96</v>
      </c>
      <c r="M515">
        <v>41913</v>
      </c>
      <c r="N515">
        <v>10</v>
      </c>
      <c r="O515" t="s">
        <v>30</v>
      </c>
      <c r="P515" t="s">
        <v>15</v>
      </c>
    </row>
    <row r="516" spans="1:16" x14ac:dyDescent="0.35">
      <c r="A516" t="s">
        <v>11</v>
      </c>
      <c r="B516" t="s">
        <v>16</v>
      </c>
      <c r="C516" t="s">
        <v>38</v>
      </c>
      <c r="D516" t="s">
        <v>48</v>
      </c>
      <c r="E516">
        <v>1937</v>
      </c>
      <c r="F516">
        <v>3</v>
      </c>
      <c r="G516">
        <v>12</v>
      </c>
      <c r="H516">
        <v>23244</v>
      </c>
      <c r="I516">
        <v>2556.84</v>
      </c>
      <c r="J516">
        <v>20687.16</v>
      </c>
      <c r="K516">
        <v>5811</v>
      </c>
      <c r="L516">
        <v>14876.16</v>
      </c>
      <c r="M516">
        <v>41671</v>
      </c>
      <c r="N516">
        <v>2</v>
      </c>
      <c r="O516" t="s">
        <v>22</v>
      </c>
      <c r="P516" t="s">
        <v>15</v>
      </c>
    </row>
    <row r="517" spans="1:16" x14ac:dyDescent="0.35">
      <c r="A517" t="s">
        <v>10</v>
      </c>
      <c r="B517" t="s">
        <v>19</v>
      </c>
      <c r="C517" t="s">
        <v>38</v>
      </c>
      <c r="D517" t="s">
        <v>48</v>
      </c>
      <c r="E517">
        <v>792</v>
      </c>
      <c r="F517">
        <v>3</v>
      </c>
      <c r="G517">
        <v>350</v>
      </c>
      <c r="H517">
        <v>277200</v>
      </c>
      <c r="I517">
        <v>30492</v>
      </c>
      <c r="J517">
        <v>246708</v>
      </c>
      <c r="K517">
        <v>205920</v>
      </c>
      <c r="L517">
        <v>40788</v>
      </c>
      <c r="M517">
        <v>41699</v>
      </c>
      <c r="N517">
        <v>3</v>
      </c>
      <c r="O517" t="s">
        <v>23</v>
      </c>
      <c r="P517" t="s">
        <v>15</v>
      </c>
    </row>
    <row r="518" spans="1:16" x14ac:dyDescent="0.35">
      <c r="A518" t="s">
        <v>7</v>
      </c>
      <c r="B518" t="s">
        <v>19</v>
      </c>
      <c r="C518" t="s">
        <v>38</v>
      </c>
      <c r="D518" t="s">
        <v>48</v>
      </c>
      <c r="E518">
        <v>2811</v>
      </c>
      <c r="F518">
        <v>3</v>
      </c>
      <c r="G518">
        <v>300</v>
      </c>
      <c r="H518">
        <v>843300</v>
      </c>
      <c r="I518">
        <v>92763</v>
      </c>
      <c r="J518">
        <v>750537</v>
      </c>
      <c r="K518">
        <v>702750</v>
      </c>
      <c r="L518">
        <v>47787</v>
      </c>
      <c r="M518">
        <v>41821</v>
      </c>
      <c r="N518">
        <v>7</v>
      </c>
      <c r="O518" t="s">
        <v>27</v>
      </c>
      <c r="P518" t="s">
        <v>15</v>
      </c>
    </row>
    <row r="519" spans="1:16" x14ac:dyDescent="0.35">
      <c r="A519" t="s">
        <v>9</v>
      </c>
      <c r="B519" t="s">
        <v>18</v>
      </c>
      <c r="C519" t="s">
        <v>38</v>
      </c>
      <c r="D519" t="s">
        <v>48</v>
      </c>
      <c r="E519">
        <v>2441</v>
      </c>
      <c r="F519">
        <v>3</v>
      </c>
      <c r="G519">
        <v>125</v>
      </c>
      <c r="H519">
        <v>305125</v>
      </c>
      <c r="I519">
        <v>33563.75</v>
      </c>
      <c r="J519">
        <v>271561.25</v>
      </c>
      <c r="K519">
        <v>292920</v>
      </c>
      <c r="L519">
        <v>-21358.75</v>
      </c>
      <c r="M519">
        <v>41913</v>
      </c>
      <c r="N519">
        <v>10</v>
      </c>
      <c r="O519" t="s">
        <v>30</v>
      </c>
      <c r="P519" t="s">
        <v>15</v>
      </c>
    </row>
    <row r="520" spans="1:16" x14ac:dyDescent="0.35">
      <c r="A520" t="s">
        <v>8</v>
      </c>
      <c r="B520" t="s">
        <v>16</v>
      </c>
      <c r="C520" t="s">
        <v>38</v>
      </c>
      <c r="D520" t="s">
        <v>48</v>
      </c>
      <c r="E520">
        <v>1560</v>
      </c>
      <c r="F520">
        <v>3</v>
      </c>
      <c r="G520">
        <v>15</v>
      </c>
      <c r="H520">
        <v>23400</v>
      </c>
      <c r="I520">
        <v>2574</v>
      </c>
      <c r="J520">
        <v>20826</v>
      </c>
      <c r="K520">
        <v>15600</v>
      </c>
      <c r="L520">
        <v>5226</v>
      </c>
      <c r="M520">
        <v>41579</v>
      </c>
      <c r="N520">
        <v>11</v>
      </c>
      <c r="O520" t="s">
        <v>31</v>
      </c>
      <c r="P520" t="s">
        <v>14</v>
      </c>
    </row>
    <row r="521" spans="1:16" x14ac:dyDescent="0.35">
      <c r="A521" t="s">
        <v>10</v>
      </c>
      <c r="B521" t="s">
        <v>20</v>
      </c>
      <c r="C521" t="s">
        <v>38</v>
      </c>
      <c r="D521" t="s">
        <v>48</v>
      </c>
      <c r="E521">
        <v>2706</v>
      </c>
      <c r="F521">
        <v>3</v>
      </c>
      <c r="G521">
        <v>7</v>
      </c>
      <c r="H521">
        <v>18942</v>
      </c>
      <c r="I521">
        <v>2083.62</v>
      </c>
      <c r="J521">
        <v>16858.38</v>
      </c>
      <c r="K521">
        <v>13530</v>
      </c>
      <c r="L521">
        <v>3328.380000000001</v>
      </c>
      <c r="M521">
        <v>41579</v>
      </c>
      <c r="N521">
        <v>11</v>
      </c>
      <c r="O521" t="s">
        <v>31</v>
      </c>
      <c r="P521" t="s">
        <v>14</v>
      </c>
    </row>
    <row r="522" spans="1:16" x14ac:dyDescent="0.35">
      <c r="A522" t="s">
        <v>10</v>
      </c>
      <c r="B522" t="s">
        <v>19</v>
      </c>
      <c r="C522" t="s">
        <v>39</v>
      </c>
      <c r="D522" t="s">
        <v>48</v>
      </c>
      <c r="E522">
        <v>766</v>
      </c>
      <c r="F522">
        <v>5</v>
      </c>
      <c r="G522">
        <v>350</v>
      </c>
      <c r="H522">
        <v>268100</v>
      </c>
      <c r="I522">
        <v>29491</v>
      </c>
      <c r="J522">
        <v>238609</v>
      </c>
      <c r="K522">
        <v>199160</v>
      </c>
      <c r="L522">
        <v>39449</v>
      </c>
      <c r="M522">
        <v>41640</v>
      </c>
      <c r="N522">
        <v>1</v>
      </c>
      <c r="O522" t="s">
        <v>21</v>
      </c>
      <c r="P522" t="s">
        <v>15</v>
      </c>
    </row>
    <row r="523" spans="1:16" x14ac:dyDescent="0.35">
      <c r="A523" t="s">
        <v>10</v>
      </c>
      <c r="B523" t="s">
        <v>19</v>
      </c>
      <c r="C523" t="s">
        <v>39</v>
      </c>
      <c r="D523" t="s">
        <v>48</v>
      </c>
      <c r="E523">
        <v>2992</v>
      </c>
      <c r="F523">
        <v>5</v>
      </c>
      <c r="G523">
        <v>20</v>
      </c>
      <c r="H523">
        <v>59840</v>
      </c>
      <c r="I523">
        <v>6582.4</v>
      </c>
      <c r="J523">
        <v>53257.599999999999</v>
      </c>
      <c r="K523">
        <v>29920</v>
      </c>
      <c r="L523">
        <v>23337.599999999999</v>
      </c>
      <c r="M523">
        <v>41548</v>
      </c>
      <c r="N523">
        <v>10</v>
      </c>
      <c r="O523" t="s">
        <v>30</v>
      </c>
      <c r="P523" t="s">
        <v>14</v>
      </c>
    </row>
    <row r="524" spans="1:16" x14ac:dyDescent="0.35">
      <c r="A524" t="s">
        <v>8</v>
      </c>
      <c r="B524" t="s">
        <v>20</v>
      </c>
      <c r="C524" t="s">
        <v>39</v>
      </c>
      <c r="D524" t="s">
        <v>48</v>
      </c>
      <c r="E524">
        <v>2157</v>
      </c>
      <c r="F524">
        <v>5</v>
      </c>
      <c r="G524">
        <v>15</v>
      </c>
      <c r="H524">
        <v>32355</v>
      </c>
      <c r="I524">
        <v>3559.05</v>
      </c>
      <c r="J524">
        <v>28795.95</v>
      </c>
      <c r="K524">
        <v>21570</v>
      </c>
      <c r="L524">
        <v>7225.9500000000007</v>
      </c>
      <c r="M524">
        <v>41974</v>
      </c>
      <c r="N524">
        <v>12</v>
      </c>
      <c r="O524" t="s">
        <v>32</v>
      </c>
      <c r="P524" t="s">
        <v>15</v>
      </c>
    </row>
    <row r="525" spans="1:16" x14ac:dyDescent="0.35">
      <c r="A525" t="s">
        <v>7</v>
      </c>
      <c r="B525" t="s">
        <v>16</v>
      </c>
      <c r="C525" t="s">
        <v>40</v>
      </c>
      <c r="D525" t="s">
        <v>48</v>
      </c>
      <c r="E525">
        <v>873</v>
      </c>
      <c r="F525">
        <v>10</v>
      </c>
      <c r="G525">
        <v>300</v>
      </c>
      <c r="H525">
        <v>261900</v>
      </c>
      <c r="I525">
        <v>28809</v>
      </c>
      <c r="J525">
        <v>233091</v>
      </c>
      <c r="K525">
        <v>218250</v>
      </c>
      <c r="L525">
        <v>14841</v>
      </c>
      <c r="M525">
        <v>41640</v>
      </c>
      <c r="N525">
        <v>1</v>
      </c>
      <c r="O525" t="s">
        <v>21</v>
      </c>
      <c r="P525" t="s">
        <v>15</v>
      </c>
    </row>
    <row r="526" spans="1:16" x14ac:dyDescent="0.35">
      <c r="A526" t="s">
        <v>10</v>
      </c>
      <c r="B526" t="s">
        <v>20</v>
      </c>
      <c r="C526" t="s">
        <v>40</v>
      </c>
      <c r="D526" t="s">
        <v>48</v>
      </c>
      <c r="E526">
        <v>1122</v>
      </c>
      <c r="F526">
        <v>10</v>
      </c>
      <c r="G526">
        <v>20</v>
      </c>
      <c r="H526">
        <v>22440</v>
      </c>
      <c r="I526">
        <v>2468.4</v>
      </c>
      <c r="J526">
        <v>19971.599999999999</v>
      </c>
      <c r="K526">
        <v>11220</v>
      </c>
      <c r="L526">
        <v>8751.5999999999985</v>
      </c>
      <c r="M526">
        <v>41699</v>
      </c>
      <c r="N526">
        <v>3</v>
      </c>
      <c r="O526" t="s">
        <v>23</v>
      </c>
      <c r="P526" t="s">
        <v>15</v>
      </c>
    </row>
    <row r="527" spans="1:16" x14ac:dyDescent="0.35">
      <c r="A527" t="s">
        <v>10</v>
      </c>
      <c r="B527" t="s">
        <v>16</v>
      </c>
      <c r="C527" t="s">
        <v>40</v>
      </c>
      <c r="D527" t="s">
        <v>48</v>
      </c>
      <c r="E527">
        <v>2104.5</v>
      </c>
      <c r="F527">
        <v>10</v>
      </c>
      <c r="G527">
        <v>350</v>
      </c>
      <c r="H527">
        <v>736575</v>
      </c>
      <c r="I527">
        <v>81023.25</v>
      </c>
      <c r="J527">
        <v>655551.75</v>
      </c>
      <c r="K527">
        <v>547170</v>
      </c>
      <c r="L527">
        <v>108381.75</v>
      </c>
      <c r="M527">
        <v>41821</v>
      </c>
      <c r="N527">
        <v>7</v>
      </c>
      <c r="O527" t="s">
        <v>27</v>
      </c>
      <c r="P527" t="s">
        <v>15</v>
      </c>
    </row>
    <row r="528" spans="1:16" x14ac:dyDescent="0.35">
      <c r="A528" t="s">
        <v>11</v>
      </c>
      <c r="B528" t="s">
        <v>16</v>
      </c>
      <c r="C528" t="s">
        <v>40</v>
      </c>
      <c r="D528" t="s">
        <v>48</v>
      </c>
      <c r="E528">
        <v>4026</v>
      </c>
      <c r="F528">
        <v>10</v>
      </c>
      <c r="G528">
        <v>12</v>
      </c>
      <c r="H528">
        <v>48312</v>
      </c>
      <c r="I528">
        <v>5314.32</v>
      </c>
      <c r="J528">
        <v>42997.68</v>
      </c>
      <c r="K528">
        <v>12078</v>
      </c>
      <c r="L528">
        <v>30919.68</v>
      </c>
      <c r="M528">
        <v>41821</v>
      </c>
      <c r="N528">
        <v>7</v>
      </c>
      <c r="O528" t="s">
        <v>27</v>
      </c>
      <c r="P528" t="s">
        <v>15</v>
      </c>
    </row>
    <row r="529" spans="1:16" x14ac:dyDescent="0.35">
      <c r="A529" t="s">
        <v>11</v>
      </c>
      <c r="B529" t="s">
        <v>18</v>
      </c>
      <c r="C529" t="s">
        <v>40</v>
      </c>
      <c r="D529" t="s">
        <v>48</v>
      </c>
      <c r="E529">
        <v>2425.5</v>
      </c>
      <c r="F529">
        <v>10</v>
      </c>
      <c r="G529">
        <v>12</v>
      </c>
      <c r="H529">
        <v>29106</v>
      </c>
      <c r="I529">
        <v>3201.66</v>
      </c>
      <c r="J529">
        <v>25904.340000000004</v>
      </c>
      <c r="K529">
        <v>7276.5</v>
      </c>
      <c r="L529">
        <v>18627.840000000004</v>
      </c>
      <c r="M529">
        <v>41821</v>
      </c>
      <c r="N529">
        <v>7</v>
      </c>
      <c r="O529" t="s">
        <v>27</v>
      </c>
      <c r="P529" t="s">
        <v>15</v>
      </c>
    </row>
    <row r="530" spans="1:16" x14ac:dyDescent="0.35">
      <c r="A530" t="s">
        <v>10</v>
      </c>
      <c r="B530" t="s">
        <v>16</v>
      </c>
      <c r="C530" t="s">
        <v>40</v>
      </c>
      <c r="D530" t="s">
        <v>48</v>
      </c>
      <c r="E530">
        <v>2394</v>
      </c>
      <c r="F530">
        <v>10</v>
      </c>
      <c r="G530">
        <v>20</v>
      </c>
      <c r="H530">
        <v>47880</v>
      </c>
      <c r="I530">
        <v>5266.8</v>
      </c>
      <c r="J530">
        <v>42613.2</v>
      </c>
      <c r="K530">
        <v>23940</v>
      </c>
      <c r="L530">
        <v>18673.199999999997</v>
      </c>
      <c r="M530">
        <v>41852</v>
      </c>
      <c r="N530">
        <v>8</v>
      </c>
      <c r="O530" t="s">
        <v>28</v>
      </c>
      <c r="P530" t="s">
        <v>15</v>
      </c>
    </row>
    <row r="531" spans="1:16" x14ac:dyDescent="0.35">
      <c r="A531" t="s">
        <v>8</v>
      </c>
      <c r="B531" t="s">
        <v>20</v>
      </c>
      <c r="C531" t="s">
        <v>40</v>
      </c>
      <c r="D531" t="s">
        <v>48</v>
      </c>
      <c r="E531">
        <v>1984</v>
      </c>
      <c r="F531">
        <v>10</v>
      </c>
      <c r="G531">
        <v>15</v>
      </c>
      <c r="H531">
        <v>29760</v>
      </c>
      <c r="I531">
        <v>3273.6</v>
      </c>
      <c r="J531">
        <v>26486.400000000001</v>
      </c>
      <c r="K531">
        <v>19840</v>
      </c>
      <c r="L531">
        <v>6646.4000000000015</v>
      </c>
      <c r="M531">
        <v>41852</v>
      </c>
      <c r="N531">
        <v>8</v>
      </c>
      <c r="O531" t="s">
        <v>28</v>
      </c>
      <c r="P531" t="s">
        <v>15</v>
      </c>
    </row>
    <row r="532" spans="1:16" x14ac:dyDescent="0.35">
      <c r="A532" t="s">
        <v>9</v>
      </c>
      <c r="B532" t="s">
        <v>18</v>
      </c>
      <c r="C532" t="s">
        <v>40</v>
      </c>
      <c r="D532" t="s">
        <v>48</v>
      </c>
      <c r="E532">
        <v>2441</v>
      </c>
      <c r="F532">
        <v>10</v>
      </c>
      <c r="G532">
        <v>125</v>
      </c>
      <c r="H532">
        <v>305125</v>
      </c>
      <c r="I532">
        <v>33563.75</v>
      </c>
      <c r="J532">
        <v>271561.25</v>
      </c>
      <c r="K532">
        <v>292920</v>
      </c>
      <c r="L532">
        <v>-21358.75</v>
      </c>
      <c r="M532">
        <v>41913</v>
      </c>
      <c r="N532">
        <v>10</v>
      </c>
      <c r="O532" t="s">
        <v>30</v>
      </c>
      <c r="P532" t="s">
        <v>15</v>
      </c>
    </row>
    <row r="533" spans="1:16" x14ac:dyDescent="0.35">
      <c r="A533" t="s">
        <v>10</v>
      </c>
      <c r="B533" t="s">
        <v>19</v>
      </c>
      <c r="C533" t="s">
        <v>40</v>
      </c>
      <c r="D533" t="s">
        <v>48</v>
      </c>
      <c r="E533">
        <v>2992</v>
      </c>
      <c r="F533">
        <v>10</v>
      </c>
      <c r="G533">
        <v>20</v>
      </c>
      <c r="H533">
        <v>59840</v>
      </c>
      <c r="I533">
        <v>6582.4</v>
      </c>
      <c r="J533">
        <v>53257.599999999999</v>
      </c>
      <c r="K533">
        <v>29920</v>
      </c>
      <c r="L533">
        <v>23337.599999999999</v>
      </c>
      <c r="M533">
        <v>41548</v>
      </c>
      <c r="N533">
        <v>10</v>
      </c>
      <c r="O533" t="s">
        <v>30</v>
      </c>
      <c r="P533" t="s">
        <v>14</v>
      </c>
    </row>
    <row r="534" spans="1:16" x14ac:dyDescent="0.35">
      <c r="A534" t="s">
        <v>7</v>
      </c>
      <c r="B534" t="s">
        <v>16</v>
      </c>
      <c r="C534" t="s">
        <v>40</v>
      </c>
      <c r="D534" t="s">
        <v>48</v>
      </c>
      <c r="E534">
        <v>1366</v>
      </c>
      <c r="F534">
        <v>10</v>
      </c>
      <c r="G534">
        <v>300</v>
      </c>
      <c r="H534">
        <v>409800</v>
      </c>
      <c r="I534">
        <v>45078</v>
      </c>
      <c r="J534">
        <v>364722</v>
      </c>
      <c r="K534">
        <v>341500</v>
      </c>
      <c r="L534">
        <v>23222</v>
      </c>
      <c r="M534">
        <v>41944</v>
      </c>
      <c r="N534">
        <v>11</v>
      </c>
      <c r="O534" t="s">
        <v>31</v>
      </c>
      <c r="P534" t="s">
        <v>15</v>
      </c>
    </row>
    <row r="535" spans="1:16" x14ac:dyDescent="0.35">
      <c r="A535" t="s">
        <v>10</v>
      </c>
      <c r="B535" t="s">
        <v>18</v>
      </c>
      <c r="C535" t="s">
        <v>41</v>
      </c>
      <c r="D535" t="s">
        <v>48</v>
      </c>
      <c r="E535">
        <v>2805</v>
      </c>
      <c r="F535">
        <v>120</v>
      </c>
      <c r="G535">
        <v>20</v>
      </c>
      <c r="H535">
        <v>56100</v>
      </c>
      <c r="I535">
        <v>6171</v>
      </c>
      <c r="J535">
        <v>49929</v>
      </c>
      <c r="K535">
        <v>28050</v>
      </c>
      <c r="L535">
        <v>21879</v>
      </c>
      <c r="M535">
        <v>41518</v>
      </c>
      <c r="N535">
        <v>9</v>
      </c>
      <c r="O535" t="s">
        <v>29</v>
      </c>
      <c r="P535" t="s">
        <v>14</v>
      </c>
    </row>
    <row r="536" spans="1:16" x14ac:dyDescent="0.35">
      <c r="A536" t="s">
        <v>8</v>
      </c>
      <c r="B536" t="s">
        <v>20</v>
      </c>
      <c r="C536" t="s">
        <v>41</v>
      </c>
      <c r="D536" t="s">
        <v>48</v>
      </c>
      <c r="E536">
        <v>655</v>
      </c>
      <c r="F536">
        <v>120</v>
      </c>
      <c r="G536">
        <v>15</v>
      </c>
      <c r="H536">
        <v>9825</v>
      </c>
      <c r="I536">
        <v>1080.75</v>
      </c>
      <c r="J536">
        <v>8744.25</v>
      </c>
      <c r="K536">
        <v>6550</v>
      </c>
      <c r="L536">
        <v>2194.25</v>
      </c>
      <c r="M536">
        <v>41518</v>
      </c>
      <c r="N536">
        <v>9</v>
      </c>
      <c r="O536" t="s">
        <v>29</v>
      </c>
      <c r="P536" t="s">
        <v>14</v>
      </c>
    </row>
    <row r="537" spans="1:16" x14ac:dyDescent="0.35">
      <c r="A537" t="s">
        <v>10</v>
      </c>
      <c r="B537" t="s">
        <v>20</v>
      </c>
      <c r="C537" t="s">
        <v>41</v>
      </c>
      <c r="D537" t="s">
        <v>48</v>
      </c>
      <c r="E537">
        <v>344</v>
      </c>
      <c r="F537">
        <v>120</v>
      </c>
      <c r="G537">
        <v>350</v>
      </c>
      <c r="H537">
        <v>120400</v>
      </c>
      <c r="I537">
        <v>13244</v>
      </c>
      <c r="J537">
        <v>107156</v>
      </c>
      <c r="K537">
        <v>89440</v>
      </c>
      <c r="L537">
        <v>17716</v>
      </c>
      <c r="M537">
        <v>41548</v>
      </c>
      <c r="N537">
        <v>10</v>
      </c>
      <c r="O537" t="s">
        <v>30</v>
      </c>
      <c r="P537" t="s">
        <v>14</v>
      </c>
    </row>
    <row r="538" spans="1:16" x14ac:dyDescent="0.35">
      <c r="A538" t="s">
        <v>10</v>
      </c>
      <c r="B538" t="s">
        <v>16</v>
      </c>
      <c r="C538" t="s">
        <v>41</v>
      </c>
      <c r="D538" t="s">
        <v>48</v>
      </c>
      <c r="E538">
        <v>1808</v>
      </c>
      <c r="F538">
        <v>120</v>
      </c>
      <c r="G538">
        <v>7</v>
      </c>
      <c r="H538">
        <v>12656</v>
      </c>
      <c r="I538">
        <v>1392.16</v>
      </c>
      <c r="J538">
        <v>11263.84</v>
      </c>
      <c r="K538">
        <v>9040</v>
      </c>
      <c r="L538">
        <v>2223.84</v>
      </c>
      <c r="M538">
        <v>41944</v>
      </c>
      <c r="N538">
        <v>11</v>
      </c>
      <c r="O538" t="s">
        <v>31</v>
      </c>
      <c r="P538" t="s">
        <v>15</v>
      </c>
    </row>
    <row r="539" spans="1:16" x14ac:dyDescent="0.35">
      <c r="A539" t="s">
        <v>11</v>
      </c>
      <c r="B539" t="s">
        <v>18</v>
      </c>
      <c r="C539" t="s">
        <v>42</v>
      </c>
      <c r="D539" t="s">
        <v>48</v>
      </c>
      <c r="E539">
        <v>1734</v>
      </c>
      <c r="F539">
        <v>250</v>
      </c>
      <c r="G539">
        <v>12</v>
      </c>
      <c r="H539">
        <v>20808</v>
      </c>
      <c r="I539">
        <v>2288.88</v>
      </c>
      <c r="J539">
        <v>18519.12</v>
      </c>
      <c r="K539">
        <v>5202</v>
      </c>
      <c r="L539">
        <v>13317.119999999999</v>
      </c>
      <c r="M539">
        <v>41640</v>
      </c>
      <c r="N539">
        <v>1</v>
      </c>
      <c r="O539" t="s">
        <v>21</v>
      </c>
      <c r="P539" t="s">
        <v>15</v>
      </c>
    </row>
    <row r="540" spans="1:16" x14ac:dyDescent="0.35">
      <c r="A540" t="s">
        <v>9</v>
      </c>
      <c r="B540" t="s">
        <v>20</v>
      </c>
      <c r="C540" t="s">
        <v>42</v>
      </c>
      <c r="D540" t="s">
        <v>48</v>
      </c>
      <c r="E540">
        <v>554</v>
      </c>
      <c r="F540">
        <v>250</v>
      </c>
      <c r="G540">
        <v>125</v>
      </c>
      <c r="H540">
        <v>69250</v>
      </c>
      <c r="I540">
        <v>7617.5</v>
      </c>
      <c r="J540">
        <v>61632.5</v>
      </c>
      <c r="K540">
        <v>66480</v>
      </c>
      <c r="L540">
        <v>-4847.5</v>
      </c>
      <c r="M540">
        <v>41640</v>
      </c>
      <c r="N540">
        <v>1</v>
      </c>
      <c r="O540" t="s">
        <v>21</v>
      </c>
      <c r="P540" t="s">
        <v>15</v>
      </c>
    </row>
    <row r="541" spans="1:16" x14ac:dyDescent="0.35">
      <c r="A541" t="s">
        <v>10</v>
      </c>
      <c r="B541" t="s">
        <v>16</v>
      </c>
      <c r="C541" t="s">
        <v>42</v>
      </c>
      <c r="D541" t="s">
        <v>48</v>
      </c>
      <c r="E541">
        <v>2935</v>
      </c>
      <c r="F541">
        <v>250</v>
      </c>
      <c r="G541">
        <v>20</v>
      </c>
      <c r="H541">
        <v>58700</v>
      </c>
      <c r="I541">
        <v>6457</v>
      </c>
      <c r="J541">
        <v>52243</v>
      </c>
      <c r="K541">
        <v>29350</v>
      </c>
      <c r="L541">
        <v>22893</v>
      </c>
      <c r="M541">
        <v>41579</v>
      </c>
      <c r="N541">
        <v>11</v>
      </c>
      <c r="O541" t="s">
        <v>31</v>
      </c>
      <c r="P541" t="s">
        <v>14</v>
      </c>
    </row>
    <row r="542" spans="1:16" x14ac:dyDescent="0.35">
      <c r="A542" t="s">
        <v>9</v>
      </c>
      <c r="B542" t="s">
        <v>19</v>
      </c>
      <c r="C542" t="s">
        <v>43</v>
      </c>
      <c r="D542" t="s">
        <v>48</v>
      </c>
      <c r="E542">
        <v>3165</v>
      </c>
      <c r="F542">
        <v>260</v>
      </c>
      <c r="G542">
        <v>125</v>
      </c>
      <c r="H542">
        <v>395625</v>
      </c>
      <c r="I542">
        <v>43518.75</v>
      </c>
      <c r="J542">
        <v>352106.25</v>
      </c>
      <c r="K542">
        <v>379800</v>
      </c>
      <c r="L542">
        <v>-27693.75</v>
      </c>
      <c r="M542">
        <v>41640</v>
      </c>
      <c r="N542">
        <v>1</v>
      </c>
      <c r="O542" t="s">
        <v>21</v>
      </c>
      <c r="P542" t="s">
        <v>15</v>
      </c>
    </row>
    <row r="543" spans="1:16" x14ac:dyDescent="0.35">
      <c r="A543" t="s">
        <v>10</v>
      </c>
      <c r="B543" t="s">
        <v>20</v>
      </c>
      <c r="C543" t="s">
        <v>43</v>
      </c>
      <c r="D543" t="s">
        <v>48</v>
      </c>
      <c r="E543">
        <v>2629</v>
      </c>
      <c r="F543">
        <v>260</v>
      </c>
      <c r="G543">
        <v>20</v>
      </c>
      <c r="H543">
        <v>52580</v>
      </c>
      <c r="I543">
        <v>5783.8</v>
      </c>
      <c r="J543">
        <v>46796.2</v>
      </c>
      <c r="K543">
        <v>26290</v>
      </c>
      <c r="L543">
        <v>20506.199999999997</v>
      </c>
      <c r="M543">
        <v>41640</v>
      </c>
      <c r="N543">
        <v>1</v>
      </c>
      <c r="O543" t="s">
        <v>21</v>
      </c>
      <c r="P543" t="s">
        <v>15</v>
      </c>
    </row>
    <row r="544" spans="1:16" x14ac:dyDescent="0.35">
      <c r="A544" t="s">
        <v>9</v>
      </c>
      <c r="B544" t="s">
        <v>18</v>
      </c>
      <c r="C544" t="s">
        <v>43</v>
      </c>
      <c r="D544" t="s">
        <v>48</v>
      </c>
      <c r="E544">
        <v>1433</v>
      </c>
      <c r="F544">
        <v>260</v>
      </c>
      <c r="G544">
        <v>125</v>
      </c>
      <c r="H544">
        <v>179125</v>
      </c>
      <c r="I544">
        <v>19703.75</v>
      </c>
      <c r="J544">
        <v>159421.25</v>
      </c>
      <c r="K544">
        <v>171960</v>
      </c>
      <c r="L544">
        <v>-12538.75</v>
      </c>
      <c r="M544">
        <v>41760</v>
      </c>
      <c r="N544">
        <v>5</v>
      </c>
      <c r="O544" t="s">
        <v>25</v>
      </c>
      <c r="P544" t="s">
        <v>15</v>
      </c>
    </row>
    <row r="545" spans="1:16" x14ac:dyDescent="0.35">
      <c r="A545" t="s">
        <v>9</v>
      </c>
      <c r="B545" t="s">
        <v>20</v>
      </c>
      <c r="C545" t="s">
        <v>43</v>
      </c>
      <c r="D545" t="s">
        <v>48</v>
      </c>
      <c r="E545">
        <v>947</v>
      </c>
      <c r="F545">
        <v>260</v>
      </c>
      <c r="G545">
        <v>125</v>
      </c>
      <c r="H545">
        <v>118375</v>
      </c>
      <c r="I545">
        <v>13021.25</v>
      </c>
      <c r="J545">
        <v>105353.75</v>
      </c>
      <c r="K545">
        <v>113640</v>
      </c>
      <c r="L545">
        <v>-8286.25</v>
      </c>
      <c r="M545">
        <v>41518</v>
      </c>
      <c r="N545">
        <v>9</v>
      </c>
      <c r="O545" t="s">
        <v>29</v>
      </c>
      <c r="P545" t="s">
        <v>14</v>
      </c>
    </row>
    <row r="546" spans="1:16" x14ac:dyDescent="0.35">
      <c r="A546" t="s">
        <v>10</v>
      </c>
      <c r="B546" t="s">
        <v>20</v>
      </c>
      <c r="C546" t="s">
        <v>43</v>
      </c>
      <c r="D546" t="s">
        <v>48</v>
      </c>
      <c r="E546">
        <v>344</v>
      </c>
      <c r="F546">
        <v>260</v>
      </c>
      <c r="G546">
        <v>350</v>
      </c>
      <c r="H546">
        <v>120400</v>
      </c>
      <c r="I546">
        <v>13244</v>
      </c>
      <c r="J546">
        <v>107156</v>
      </c>
      <c r="K546">
        <v>89440</v>
      </c>
      <c r="L546">
        <v>17716</v>
      </c>
      <c r="M546">
        <v>41548</v>
      </c>
      <c r="N546">
        <v>10</v>
      </c>
      <c r="O546" t="s">
        <v>30</v>
      </c>
      <c r="P546" t="s">
        <v>14</v>
      </c>
    </row>
    <row r="547" spans="1:16" x14ac:dyDescent="0.35">
      <c r="A547" t="s">
        <v>8</v>
      </c>
      <c r="B547" t="s">
        <v>20</v>
      </c>
      <c r="C547" t="s">
        <v>43</v>
      </c>
      <c r="D547" t="s">
        <v>48</v>
      </c>
      <c r="E547">
        <v>2157</v>
      </c>
      <c r="F547">
        <v>260</v>
      </c>
      <c r="G547">
        <v>15</v>
      </c>
      <c r="H547">
        <v>32355</v>
      </c>
      <c r="I547">
        <v>3559.05</v>
      </c>
      <c r="J547">
        <v>28795.95</v>
      </c>
      <c r="K547">
        <v>21570</v>
      </c>
      <c r="L547">
        <v>7225.9500000000007</v>
      </c>
      <c r="M547">
        <v>41974</v>
      </c>
      <c r="N547">
        <v>12</v>
      </c>
      <c r="O547" t="s">
        <v>32</v>
      </c>
      <c r="P547" t="s">
        <v>15</v>
      </c>
    </row>
    <row r="548" spans="1:16" x14ac:dyDescent="0.35">
      <c r="A548" t="s">
        <v>10</v>
      </c>
      <c r="B548" t="s">
        <v>17</v>
      </c>
      <c r="C548" t="s">
        <v>40</v>
      </c>
      <c r="D548" t="s">
        <v>48</v>
      </c>
      <c r="E548">
        <v>380</v>
      </c>
      <c r="F548">
        <v>10</v>
      </c>
      <c r="G548">
        <v>7</v>
      </c>
      <c r="H548">
        <v>2660</v>
      </c>
      <c r="I548">
        <v>292.60000000000002</v>
      </c>
      <c r="J548">
        <v>2367.4</v>
      </c>
      <c r="K548">
        <v>1900</v>
      </c>
      <c r="L548">
        <v>467.40000000000009</v>
      </c>
      <c r="M548">
        <v>41518</v>
      </c>
      <c r="N548">
        <v>9</v>
      </c>
      <c r="O548" t="s">
        <v>29</v>
      </c>
      <c r="P548" t="s">
        <v>14</v>
      </c>
    </row>
    <row r="549" spans="1:16" x14ac:dyDescent="0.35">
      <c r="A549" t="s">
        <v>10</v>
      </c>
      <c r="B549" t="s">
        <v>20</v>
      </c>
      <c r="C549" t="s">
        <v>38</v>
      </c>
      <c r="D549" t="s">
        <v>48</v>
      </c>
      <c r="E549">
        <v>886</v>
      </c>
      <c r="F549">
        <v>3</v>
      </c>
      <c r="G549">
        <v>350</v>
      </c>
      <c r="H549">
        <v>310100</v>
      </c>
      <c r="I549">
        <v>37212</v>
      </c>
      <c r="J549">
        <v>272888</v>
      </c>
      <c r="K549">
        <v>230360</v>
      </c>
      <c r="L549">
        <v>42528</v>
      </c>
      <c r="M549">
        <v>41791</v>
      </c>
      <c r="N549">
        <v>6</v>
      </c>
      <c r="O549" t="s">
        <v>26</v>
      </c>
      <c r="P549" t="s">
        <v>15</v>
      </c>
    </row>
    <row r="550" spans="1:16" x14ac:dyDescent="0.35">
      <c r="A550" t="s">
        <v>9</v>
      </c>
      <c r="B550" t="s">
        <v>16</v>
      </c>
      <c r="C550" t="s">
        <v>38</v>
      </c>
      <c r="D550" t="s">
        <v>48</v>
      </c>
      <c r="E550">
        <v>2416</v>
      </c>
      <c r="F550">
        <v>3</v>
      </c>
      <c r="G550">
        <v>125</v>
      </c>
      <c r="H550">
        <v>302000</v>
      </c>
      <c r="I550">
        <v>36240</v>
      </c>
      <c r="J550">
        <v>265760</v>
      </c>
      <c r="K550">
        <v>289920</v>
      </c>
      <c r="L550">
        <v>-24160</v>
      </c>
      <c r="M550">
        <v>41518</v>
      </c>
      <c r="N550">
        <v>9</v>
      </c>
      <c r="O550" t="s">
        <v>29</v>
      </c>
      <c r="P550" t="s">
        <v>14</v>
      </c>
    </row>
    <row r="551" spans="1:16" x14ac:dyDescent="0.35">
      <c r="A551" t="s">
        <v>9</v>
      </c>
      <c r="B551" t="s">
        <v>20</v>
      </c>
      <c r="C551" t="s">
        <v>38</v>
      </c>
      <c r="D551" t="s">
        <v>48</v>
      </c>
      <c r="E551">
        <v>2156</v>
      </c>
      <c r="F551">
        <v>3</v>
      </c>
      <c r="G551">
        <v>125</v>
      </c>
      <c r="H551">
        <v>269500</v>
      </c>
      <c r="I551">
        <v>32340</v>
      </c>
      <c r="J551">
        <v>237160</v>
      </c>
      <c r="K551">
        <v>258720</v>
      </c>
      <c r="L551">
        <v>-21560</v>
      </c>
      <c r="M551">
        <v>41913</v>
      </c>
      <c r="N551">
        <v>10</v>
      </c>
      <c r="O551" t="s">
        <v>30</v>
      </c>
      <c r="P551" t="s">
        <v>15</v>
      </c>
    </row>
    <row r="552" spans="1:16" x14ac:dyDescent="0.35">
      <c r="A552" t="s">
        <v>8</v>
      </c>
      <c r="B552" t="s">
        <v>16</v>
      </c>
      <c r="C552" t="s">
        <v>38</v>
      </c>
      <c r="D552" t="s">
        <v>48</v>
      </c>
      <c r="E552">
        <v>2689</v>
      </c>
      <c r="F552">
        <v>3</v>
      </c>
      <c r="G552">
        <v>15</v>
      </c>
      <c r="H552">
        <v>40335</v>
      </c>
      <c r="I552">
        <v>4840.2</v>
      </c>
      <c r="J552">
        <v>35494.800000000003</v>
      </c>
      <c r="K552">
        <v>26890</v>
      </c>
      <c r="L552">
        <v>8604.8000000000029</v>
      </c>
      <c r="M552">
        <v>41944</v>
      </c>
      <c r="N552">
        <v>11</v>
      </c>
      <c r="O552" t="s">
        <v>31</v>
      </c>
      <c r="P552" t="s">
        <v>15</v>
      </c>
    </row>
    <row r="553" spans="1:16" x14ac:dyDescent="0.35">
      <c r="A553" t="s">
        <v>8</v>
      </c>
      <c r="B553" t="s">
        <v>17</v>
      </c>
      <c r="C553" t="s">
        <v>39</v>
      </c>
      <c r="D553" t="s">
        <v>48</v>
      </c>
      <c r="E553">
        <v>677</v>
      </c>
      <c r="F553">
        <v>5</v>
      </c>
      <c r="G553">
        <v>15</v>
      </c>
      <c r="H553">
        <v>10155</v>
      </c>
      <c r="I553">
        <v>1218.5999999999999</v>
      </c>
      <c r="J553">
        <v>8936.4</v>
      </c>
      <c r="K553">
        <v>6770</v>
      </c>
      <c r="L553">
        <v>2166.3999999999996</v>
      </c>
      <c r="M553">
        <v>41699</v>
      </c>
      <c r="N553">
        <v>3</v>
      </c>
      <c r="O553" t="s">
        <v>23</v>
      </c>
      <c r="P553" t="s">
        <v>15</v>
      </c>
    </row>
    <row r="554" spans="1:16" x14ac:dyDescent="0.35">
      <c r="A554" t="s">
        <v>7</v>
      </c>
      <c r="B554" t="s">
        <v>18</v>
      </c>
      <c r="C554" t="s">
        <v>39</v>
      </c>
      <c r="D554" t="s">
        <v>48</v>
      </c>
      <c r="E554">
        <v>1773</v>
      </c>
      <c r="F554">
        <v>5</v>
      </c>
      <c r="G554">
        <v>300</v>
      </c>
      <c r="H554">
        <v>531900</v>
      </c>
      <c r="I554">
        <v>63828</v>
      </c>
      <c r="J554">
        <v>468072</v>
      </c>
      <c r="K554">
        <v>443250</v>
      </c>
      <c r="L554">
        <v>24822</v>
      </c>
      <c r="M554">
        <v>41730</v>
      </c>
      <c r="N554">
        <v>4</v>
      </c>
      <c r="O554" t="s">
        <v>24</v>
      </c>
      <c r="P554" t="s">
        <v>15</v>
      </c>
    </row>
    <row r="555" spans="1:16" x14ac:dyDescent="0.35">
      <c r="A555" t="s">
        <v>10</v>
      </c>
      <c r="B555" t="s">
        <v>20</v>
      </c>
      <c r="C555" t="s">
        <v>39</v>
      </c>
      <c r="D555" t="s">
        <v>48</v>
      </c>
      <c r="E555">
        <v>2420</v>
      </c>
      <c r="F555">
        <v>5</v>
      </c>
      <c r="G555">
        <v>7</v>
      </c>
      <c r="H555">
        <v>16940</v>
      </c>
      <c r="I555">
        <v>2032.8</v>
      </c>
      <c r="J555">
        <v>14907.2</v>
      </c>
      <c r="K555">
        <v>12100</v>
      </c>
      <c r="L555">
        <v>2807.2000000000007</v>
      </c>
      <c r="M555">
        <v>41883</v>
      </c>
      <c r="N555">
        <v>9</v>
      </c>
      <c r="O555" t="s">
        <v>29</v>
      </c>
      <c r="P555" t="s">
        <v>15</v>
      </c>
    </row>
    <row r="556" spans="1:16" x14ac:dyDescent="0.35">
      <c r="A556" t="s">
        <v>10</v>
      </c>
      <c r="B556" t="s">
        <v>16</v>
      </c>
      <c r="C556" t="s">
        <v>39</v>
      </c>
      <c r="D556" t="s">
        <v>48</v>
      </c>
      <c r="E556">
        <v>2734</v>
      </c>
      <c r="F556">
        <v>5</v>
      </c>
      <c r="G556">
        <v>7</v>
      </c>
      <c r="H556">
        <v>19138</v>
      </c>
      <c r="I556">
        <v>2296.56</v>
      </c>
      <c r="J556">
        <v>16841.439999999999</v>
      </c>
      <c r="K556">
        <v>13670</v>
      </c>
      <c r="L556">
        <v>3171.4399999999987</v>
      </c>
      <c r="M556">
        <v>41913</v>
      </c>
      <c r="N556">
        <v>10</v>
      </c>
      <c r="O556" t="s">
        <v>30</v>
      </c>
      <c r="P556" t="s">
        <v>15</v>
      </c>
    </row>
    <row r="557" spans="1:16" x14ac:dyDescent="0.35">
      <c r="A557" t="s">
        <v>10</v>
      </c>
      <c r="B557" t="s">
        <v>20</v>
      </c>
      <c r="C557" t="s">
        <v>39</v>
      </c>
      <c r="D557" t="s">
        <v>48</v>
      </c>
      <c r="E557">
        <v>1715</v>
      </c>
      <c r="F557">
        <v>5</v>
      </c>
      <c r="G557">
        <v>20</v>
      </c>
      <c r="H557">
        <v>34300</v>
      </c>
      <c r="I557">
        <v>4116</v>
      </c>
      <c r="J557">
        <v>30184</v>
      </c>
      <c r="K557">
        <v>17150</v>
      </c>
      <c r="L557">
        <v>13034</v>
      </c>
      <c r="M557">
        <v>41548</v>
      </c>
      <c r="N557">
        <v>10</v>
      </c>
      <c r="O557" t="s">
        <v>30</v>
      </c>
      <c r="P557" t="s">
        <v>14</v>
      </c>
    </row>
    <row r="558" spans="1:16" x14ac:dyDescent="0.35">
      <c r="A558" t="s">
        <v>7</v>
      </c>
      <c r="B558" t="s">
        <v>18</v>
      </c>
      <c r="C558" t="s">
        <v>39</v>
      </c>
      <c r="D558" t="s">
        <v>48</v>
      </c>
      <c r="E558">
        <v>1186</v>
      </c>
      <c r="F558">
        <v>5</v>
      </c>
      <c r="G558">
        <v>300</v>
      </c>
      <c r="H558">
        <v>355800</v>
      </c>
      <c r="I558">
        <v>42696</v>
      </c>
      <c r="J558">
        <v>313104</v>
      </c>
      <c r="K558">
        <v>296500</v>
      </c>
      <c r="L558">
        <v>16604</v>
      </c>
      <c r="M558">
        <v>41609</v>
      </c>
      <c r="N558">
        <v>12</v>
      </c>
      <c r="O558" t="s">
        <v>32</v>
      </c>
      <c r="P558" t="s">
        <v>14</v>
      </c>
    </row>
    <row r="559" spans="1:16" x14ac:dyDescent="0.35">
      <c r="A559" t="s">
        <v>7</v>
      </c>
      <c r="B559" t="s">
        <v>17</v>
      </c>
      <c r="C559" t="s">
        <v>40</v>
      </c>
      <c r="D559" t="s">
        <v>48</v>
      </c>
      <c r="E559">
        <v>3495</v>
      </c>
      <c r="F559">
        <v>10</v>
      </c>
      <c r="G559">
        <v>300</v>
      </c>
      <c r="H559">
        <v>1048500</v>
      </c>
      <c r="I559">
        <v>125820</v>
      </c>
      <c r="J559">
        <v>922680</v>
      </c>
      <c r="K559">
        <v>873750</v>
      </c>
      <c r="L559">
        <v>48930</v>
      </c>
      <c r="M559">
        <v>41640</v>
      </c>
      <c r="N559">
        <v>1</v>
      </c>
      <c r="O559" t="s">
        <v>21</v>
      </c>
      <c r="P559" t="s">
        <v>15</v>
      </c>
    </row>
    <row r="560" spans="1:16" x14ac:dyDescent="0.35">
      <c r="A560" t="s">
        <v>10</v>
      </c>
      <c r="B560" t="s">
        <v>20</v>
      </c>
      <c r="C560" t="s">
        <v>40</v>
      </c>
      <c r="D560" t="s">
        <v>48</v>
      </c>
      <c r="E560">
        <v>886</v>
      </c>
      <c r="F560">
        <v>10</v>
      </c>
      <c r="G560">
        <v>350</v>
      </c>
      <c r="H560">
        <v>310100</v>
      </c>
      <c r="I560">
        <v>37212</v>
      </c>
      <c r="J560">
        <v>272888</v>
      </c>
      <c r="K560">
        <v>230360</v>
      </c>
      <c r="L560">
        <v>42528</v>
      </c>
      <c r="M560">
        <v>41791</v>
      </c>
      <c r="N560">
        <v>6</v>
      </c>
      <c r="O560" t="s">
        <v>26</v>
      </c>
      <c r="P560" t="s">
        <v>15</v>
      </c>
    </row>
    <row r="561" spans="1:16" x14ac:dyDescent="0.35">
      <c r="A561" t="s">
        <v>9</v>
      </c>
      <c r="B561" t="s">
        <v>20</v>
      </c>
      <c r="C561" t="s">
        <v>40</v>
      </c>
      <c r="D561" t="s">
        <v>48</v>
      </c>
      <c r="E561">
        <v>2156</v>
      </c>
      <c r="F561">
        <v>10</v>
      </c>
      <c r="G561">
        <v>125</v>
      </c>
      <c r="H561">
        <v>269500</v>
      </c>
      <c r="I561">
        <v>32340</v>
      </c>
      <c r="J561">
        <v>237160</v>
      </c>
      <c r="K561">
        <v>258720</v>
      </c>
      <c r="L561">
        <v>-21560</v>
      </c>
      <c r="M561">
        <v>41913</v>
      </c>
      <c r="N561">
        <v>10</v>
      </c>
      <c r="O561" t="s">
        <v>30</v>
      </c>
      <c r="P561" t="s">
        <v>15</v>
      </c>
    </row>
    <row r="562" spans="1:16" x14ac:dyDescent="0.35">
      <c r="A562" t="s">
        <v>10</v>
      </c>
      <c r="B562" t="s">
        <v>20</v>
      </c>
      <c r="C562" t="s">
        <v>40</v>
      </c>
      <c r="D562" t="s">
        <v>48</v>
      </c>
      <c r="E562">
        <v>905</v>
      </c>
      <c r="F562">
        <v>10</v>
      </c>
      <c r="G562">
        <v>20</v>
      </c>
      <c r="H562">
        <v>18100</v>
      </c>
      <c r="I562">
        <v>2172</v>
      </c>
      <c r="J562">
        <v>15928</v>
      </c>
      <c r="K562">
        <v>9050</v>
      </c>
      <c r="L562">
        <v>6878</v>
      </c>
      <c r="M562">
        <v>41913</v>
      </c>
      <c r="N562">
        <v>10</v>
      </c>
      <c r="O562" t="s">
        <v>30</v>
      </c>
      <c r="P562" t="s">
        <v>15</v>
      </c>
    </row>
    <row r="563" spans="1:16" x14ac:dyDescent="0.35">
      <c r="A563" t="s">
        <v>10</v>
      </c>
      <c r="B563" t="s">
        <v>20</v>
      </c>
      <c r="C563" t="s">
        <v>40</v>
      </c>
      <c r="D563" t="s">
        <v>48</v>
      </c>
      <c r="E563">
        <v>1715</v>
      </c>
      <c r="F563">
        <v>10</v>
      </c>
      <c r="G563">
        <v>20</v>
      </c>
      <c r="H563">
        <v>34300</v>
      </c>
      <c r="I563">
        <v>4116</v>
      </c>
      <c r="J563">
        <v>30184</v>
      </c>
      <c r="K563">
        <v>17150</v>
      </c>
      <c r="L563">
        <v>13034</v>
      </c>
      <c r="M563">
        <v>41548</v>
      </c>
      <c r="N563">
        <v>10</v>
      </c>
      <c r="O563" t="s">
        <v>30</v>
      </c>
      <c r="P563" t="s">
        <v>14</v>
      </c>
    </row>
    <row r="564" spans="1:16" x14ac:dyDescent="0.35">
      <c r="A564" t="s">
        <v>10</v>
      </c>
      <c r="B564" t="s">
        <v>18</v>
      </c>
      <c r="C564" t="s">
        <v>40</v>
      </c>
      <c r="D564" t="s">
        <v>48</v>
      </c>
      <c r="E564">
        <v>1594</v>
      </c>
      <c r="F564">
        <v>10</v>
      </c>
      <c r="G564">
        <v>350</v>
      </c>
      <c r="H564">
        <v>557900</v>
      </c>
      <c r="I564">
        <v>66948</v>
      </c>
      <c r="J564">
        <v>490952</v>
      </c>
      <c r="K564">
        <v>414440</v>
      </c>
      <c r="L564">
        <v>76512</v>
      </c>
      <c r="M564">
        <v>41944</v>
      </c>
      <c r="N564">
        <v>11</v>
      </c>
      <c r="O564" t="s">
        <v>31</v>
      </c>
      <c r="P564" t="s">
        <v>15</v>
      </c>
    </row>
    <row r="565" spans="1:16" x14ac:dyDescent="0.35">
      <c r="A565" t="s">
        <v>7</v>
      </c>
      <c r="B565" t="s">
        <v>19</v>
      </c>
      <c r="C565" t="s">
        <v>40</v>
      </c>
      <c r="D565" t="s">
        <v>48</v>
      </c>
      <c r="E565">
        <v>1359</v>
      </c>
      <c r="F565">
        <v>10</v>
      </c>
      <c r="G565">
        <v>300</v>
      </c>
      <c r="H565">
        <v>407700</v>
      </c>
      <c r="I565">
        <v>48924</v>
      </c>
      <c r="J565">
        <v>358776</v>
      </c>
      <c r="K565">
        <v>339750</v>
      </c>
      <c r="L565">
        <v>19026</v>
      </c>
      <c r="M565">
        <v>41944</v>
      </c>
      <c r="N565">
        <v>11</v>
      </c>
      <c r="O565" t="s">
        <v>31</v>
      </c>
      <c r="P565" t="s">
        <v>15</v>
      </c>
    </row>
    <row r="566" spans="1:16" x14ac:dyDescent="0.35">
      <c r="A566" t="s">
        <v>7</v>
      </c>
      <c r="B566" t="s">
        <v>20</v>
      </c>
      <c r="C566" t="s">
        <v>40</v>
      </c>
      <c r="D566" t="s">
        <v>48</v>
      </c>
      <c r="E566">
        <v>2150</v>
      </c>
      <c r="F566">
        <v>10</v>
      </c>
      <c r="G566">
        <v>300</v>
      </c>
      <c r="H566">
        <v>645000</v>
      </c>
      <c r="I566">
        <v>77400</v>
      </c>
      <c r="J566">
        <v>567600</v>
      </c>
      <c r="K566">
        <v>537500</v>
      </c>
      <c r="L566">
        <v>30100</v>
      </c>
      <c r="M566">
        <v>41944</v>
      </c>
      <c r="N566">
        <v>11</v>
      </c>
      <c r="O566" t="s">
        <v>31</v>
      </c>
      <c r="P566" t="s">
        <v>15</v>
      </c>
    </row>
    <row r="567" spans="1:16" x14ac:dyDescent="0.35">
      <c r="A567" t="s">
        <v>10</v>
      </c>
      <c r="B567" t="s">
        <v>20</v>
      </c>
      <c r="C567" t="s">
        <v>40</v>
      </c>
      <c r="D567" t="s">
        <v>48</v>
      </c>
      <c r="E567">
        <v>1197</v>
      </c>
      <c r="F567">
        <v>10</v>
      </c>
      <c r="G567">
        <v>350</v>
      </c>
      <c r="H567">
        <v>418950</v>
      </c>
      <c r="I567">
        <v>50274</v>
      </c>
      <c r="J567">
        <v>368676</v>
      </c>
      <c r="K567">
        <v>311220</v>
      </c>
      <c r="L567">
        <v>57456</v>
      </c>
      <c r="M567">
        <v>41944</v>
      </c>
      <c r="N567">
        <v>11</v>
      </c>
      <c r="O567" t="s">
        <v>31</v>
      </c>
      <c r="P567" t="s">
        <v>15</v>
      </c>
    </row>
    <row r="568" spans="1:16" x14ac:dyDescent="0.35">
      <c r="A568" t="s">
        <v>8</v>
      </c>
      <c r="B568" t="s">
        <v>20</v>
      </c>
      <c r="C568" t="s">
        <v>40</v>
      </c>
      <c r="D568" t="s">
        <v>48</v>
      </c>
      <c r="E568">
        <v>380</v>
      </c>
      <c r="F568">
        <v>10</v>
      </c>
      <c r="G568">
        <v>15</v>
      </c>
      <c r="H568">
        <v>5700</v>
      </c>
      <c r="I568">
        <v>684</v>
      </c>
      <c r="J568">
        <v>5016</v>
      </c>
      <c r="K568">
        <v>3800</v>
      </c>
      <c r="L568">
        <v>1216</v>
      </c>
      <c r="M568">
        <v>41609</v>
      </c>
      <c r="N568">
        <v>12</v>
      </c>
      <c r="O568" t="s">
        <v>32</v>
      </c>
      <c r="P568" t="s">
        <v>14</v>
      </c>
    </row>
    <row r="569" spans="1:16" x14ac:dyDescent="0.35">
      <c r="A569" t="s">
        <v>10</v>
      </c>
      <c r="B569" t="s">
        <v>20</v>
      </c>
      <c r="C569" t="s">
        <v>40</v>
      </c>
      <c r="D569" t="s">
        <v>48</v>
      </c>
      <c r="E569">
        <v>1233</v>
      </c>
      <c r="F569">
        <v>10</v>
      </c>
      <c r="G569">
        <v>20</v>
      </c>
      <c r="H569">
        <v>24660</v>
      </c>
      <c r="I569">
        <v>2959.2</v>
      </c>
      <c r="J569">
        <v>21700.799999999999</v>
      </c>
      <c r="K569">
        <v>12330</v>
      </c>
      <c r="L569">
        <v>9370.7999999999993</v>
      </c>
      <c r="M569">
        <v>41974</v>
      </c>
      <c r="N569">
        <v>12</v>
      </c>
      <c r="O569" t="s">
        <v>32</v>
      </c>
      <c r="P569" t="s">
        <v>15</v>
      </c>
    </row>
    <row r="570" spans="1:16" x14ac:dyDescent="0.35">
      <c r="A570" t="s">
        <v>10</v>
      </c>
      <c r="B570" t="s">
        <v>20</v>
      </c>
      <c r="C570" t="s">
        <v>41</v>
      </c>
      <c r="D570" t="s">
        <v>48</v>
      </c>
      <c r="E570">
        <v>1395</v>
      </c>
      <c r="F570">
        <v>120</v>
      </c>
      <c r="G570">
        <v>350</v>
      </c>
      <c r="H570">
        <v>488250</v>
      </c>
      <c r="I570">
        <v>58590</v>
      </c>
      <c r="J570">
        <v>429660</v>
      </c>
      <c r="K570">
        <v>362700</v>
      </c>
      <c r="L570">
        <v>66960</v>
      </c>
      <c r="M570">
        <v>41821</v>
      </c>
      <c r="N570">
        <v>7</v>
      </c>
      <c r="O570" t="s">
        <v>27</v>
      </c>
      <c r="P570" t="s">
        <v>15</v>
      </c>
    </row>
    <row r="571" spans="1:16" x14ac:dyDescent="0.35">
      <c r="A571" t="s">
        <v>10</v>
      </c>
      <c r="B571" t="s">
        <v>17</v>
      </c>
      <c r="C571" t="s">
        <v>41</v>
      </c>
      <c r="D571" t="s">
        <v>48</v>
      </c>
      <c r="E571">
        <v>986</v>
      </c>
      <c r="F571">
        <v>120</v>
      </c>
      <c r="G571">
        <v>350</v>
      </c>
      <c r="H571">
        <v>345100</v>
      </c>
      <c r="I571">
        <v>41412</v>
      </c>
      <c r="J571">
        <v>303688</v>
      </c>
      <c r="K571">
        <v>256360</v>
      </c>
      <c r="L571">
        <v>47328</v>
      </c>
      <c r="M571">
        <v>41913</v>
      </c>
      <c r="N571">
        <v>10</v>
      </c>
      <c r="O571" t="s">
        <v>30</v>
      </c>
      <c r="P571" t="s">
        <v>15</v>
      </c>
    </row>
    <row r="572" spans="1:16" x14ac:dyDescent="0.35">
      <c r="A572" t="s">
        <v>10</v>
      </c>
      <c r="B572" t="s">
        <v>20</v>
      </c>
      <c r="C572" t="s">
        <v>41</v>
      </c>
      <c r="D572" t="s">
        <v>48</v>
      </c>
      <c r="E572">
        <v>905</v>
      </c>
      <c r="F572">
        <v>120</v>
      </c>
      <c r="G572">
        <v>20</v>
      </c>
      <c r="H572">
        <v>18100</v>
      </c>
      <c r="I572">
        <v>2172</v>
      </c>
      <c r="J572">
        <v>15928</v>
      </c>
      <c r="K572">
        <v>9050</v>
      </c>
      <c r="L572">
        <v>6878</v>
      </c>
      <c r="M572">
        <v>41913</v>
      </c>
      <c r="N572">
        <v>10</v>
      </c>
      <c r="O572" t="s">
        <v>30</v>
      </c>
      <c r="P572" t="s">
        <v>15</v>
      </c>
    </row>
    <row r="573" spans="1:16" x14ac:dyDescent="0.35">
      <c r="A573" t="s">
        <v>11</v>
      </c>
      <c r="B573" t="s">
        <v>16</v>
      </c>
      <c r="C573" t="s">
        <v>42</v>
      </c>
      <c r="D573" t="s">
        <v>48</v>
      </c>
      <c r="E573">
        <v>2109</v>
      </c>
      <c r="F573">
        <v>250</v>
      </c>
      <c r="G573">
        <v>12</v>
      </c>
      <c r="H573">
        <v>25308</v>
      </c>
      <c r="I573">
        <v>3036.96</v>
      </c>
      <c r="J573">
        <v>22271.040000000001</v>
      </c>
      <c r="K573">
        <v>6327</v>
      </c>
      <c r="L573">
        <v>15944.04</v>
      </c>
      <c r="M573">
        <v>41760</v>
      </c>
      <c r="N573">
        <v>5</v>
      </c>
      <c r="O573" t="s">
        <v>25</v>
      </c>
      <c r="P573" t="s">
        <v>15</v>
      </c>
    </row>
    <row r="574" spans="1:16" x14ac:dyDescent="0.35">
      <c r="A574" t="s">
        <v>8</v>
      </c>
      <c r="B574" t="s">
        <v>18</v>
      </c>
      <c r="C574" t="s">
        <v>42</v>
      </c>
      <c r="D574" t="s">
        <v>48</v>
      </c>
      <c r="E574">
        <v>3874.5</v>
      </c>
      <c r="F574">
        <v>250</v>
      </c>
      <c r="G574">
        <v>15</v>
      </c>
      <c r="H574">
        <v>58117.5</v>
      </c>
      <c r="I574">
        <v>6974.0999999999995</v>
      </c>
      <c r="J574">
        <v>51143.399999999994</v>
      </c>
      <c r="K574">
        <v>38745</v>
      </c>
      <c r="L574">
        <v>12398.399999999998</v>
      </c>
      <c r="M574">
        <v>41821</v>
      </c>
      <c r="N574">
        <v>7</v>
      </c>
      <c r="O574" t="s">
        <v>27</v>
      </c>
      <c r="P574" t="s">
        <v>15</v>
      </c>
    </row>
    <row r="575" spans="1:16" x14ac:dyDescent="0.35">
      <c r="A575" t="s">
        <v>10</v>
      </c>
      <c r="B575" t="s">
        <v>16</v>
      </c>
      <c r="C575" t="s">
        <v>42</v>
      </c>
      <c r="D575" t="s">
        <v>48</v>
      </c>
      <c r="E575">
        <v>623</v>
      </c>
      <c r="F575">
        <v>250</v>
      </c>
      <c r="G575">
        <v>350</v>
      </c>
      <c r="H575">
        <v>218050</v>
      </c>
      <c r="I575">
        <v>26166</v>
      </c>
      <c r="J575">
        <v>191884</v>
      </c>
      <c r="K575">
        <v>161980</v>
      </c>
      <c r="L575">
        <v>29904</v>
      </c>
      <c r="M575">
        <v>41518</v>
      </c>
      <c r="N575">
        <v>9</v>
      </c>
      <c r="O575" t="s">
        <v>29</v>
      </c>
      <c r="P575" t="s">
        <v>14</v>
      </c>
    </row>
    <row r="576" spans="1:16" x14ac:dyDescent="0.35">
      <c r="A576" t="s">
        <v>10</v>
      </c>
      <c r="B576" t="s">
        <v>17</v>
      </c>
      <c r="C576" t="s">
        <v>42</v>
      </c>
      <c r="D576" t="s">
        <v>48</v>
      </c>
      <c r="E576">
        <v>986</v>
      </c>
      <c r="F576">
        <v>250</v>
      </c>
      <c r="G576">
        <v>350</v>
      </c>
      <c r="H576">
        <v>345100</v>
      </c>
      <c r="I576">
        <v>41412</v>
      </c>
      <c r="J576">
        <v>303688</v>
      </c>
      <c r="K576">
        <v>256360</v>
      </c>
      <c r="L576">
        <v>47328</v>
      </c>
      <c r="M576">
        <v>41913</v>
      </c>
      <c r="N576">
        <v>10</v>
      </c>
      <c r="O576" t="s">
        <v>30</v>
      </c>
      <c r="P576" t="s">
        <v>15</v>
      </c>
    </row>
    <row r="577" spans="1:16" x14ac:dyDescent="0.35">
      <c r="A577" t="s">
        <v>9</v>
      </c>
      <c r="B577" t="s">
        <v>17</v>
      </c>
      <c r="C577" t="s">
        <v>42</v>
      </c>
      <c r="D577" t="s">
        <v>48</v>
      </c>
      <c r="E577">
        <v>2387</v>
      </c>
      <c r="F577">
        <v>250</v>
      </c>
      <c r="G577">
        <v>125</v>
      </c>
      <c r="H577">
        <v>298375</v>
      </c>
      <c r="I577">
        <v>35805</v>
      </c>
      <c r="J577">
        <v>262570</v>
      </c>
      <c r="K577">
        <v>286440</v>
      </c>
      <c r="L577">
        <v>-23870</v>
      </c>
      <c r="M577">
        <v>41944</v>
      </c>
      <c r="N577">
        <v>11</v>
      </c>
      <c r="O577" t="s">
        <v>31</v>
      </c>
      <c r="P577" t="s">
        <v>15</v>
      </c>
    </row>
    <row r="578" spans="1:16" x14ac:dyDescent="0.35">
      <c r="A578" t="s">
        <v>10</v>
      </c>
      <c r="B578" t="s">
        <v>20</v>
      </c>
      <c r="C578" t="s">
        <v>42</v>
      </c>
      <c r="D578" t="s">
        <v>48</v>
      </c>
      <c r="E578">
        <v>1233</v>
      </c>
      <c r="F578">
        <v>250</v>
      </c>
      <c r="G578">
        <v>20</v>
      </c>
      <c r="H578">
        <v>24660</v>
      </c>
      <c r="I578">
        <v>2959.2</v>
      </c>
      <c r="J578">
        <v>21700.799999999999</v>
      </c>
      <c r="K578">
        <v>12330</v>
      </c>
      <c r="L578">
        <v>9370.7999999999993</v>
      </c>
      <c r="M578">
        <v>41974</v>
      </c>
      <c r="N578">
        <v>12</v>
      </c>
      <c r="O578" t="s">
        <v>32</v>
      </c>
      <c r="P578" t="s">
        <v>15</v>
      </c>
    </row>
    <row r="579" spans="1:16" x14ac:dyDescent="0.35">
      <c r="A579" t="s">
        <v>10</v>
      </c>
      <c r="B579" t="s">
        <v>17</v>
      </c>
      <c r="C579" t="s">
        <v>43</v>
      </c>
      <c r="D579" t="s">
        <v>48</v>
      </c>
      <c r="E579">
        <v>270</v>
      </c>
      <c r="F579">
        <v>260</v>
      </c>
      <c r="G579">
        <v>350</v>
      </c>
      <c r="H579">
        <v>94500</v>
      </c>
      <c r="I579">
        <v>11340</v>
      </c>
      <c r="J579">
        <v>83160</v>
      </c>
      <c r="K579">
        <v>70200</v>
      </c>
      <c r="L579">
        <v>12960</v>
      </c>
      <c r="M579">
        <v>41671</v>
      </c>
      <c r="N579">
        <v>2</v>
      </c>
      <c r="O579" t="s">
        <v>22</v>
      </c>
      <c r="P579" t="s">
        <v>15</v>
      </c>
    </row>
    <row r="580" spans="1:16" x14ac:dyDescent="0.35">
      <c r="A580" t="s">
        <v>10</v>
      </c>
      <c r="B580" t="s">
        <v>18</v>
      </c>
      <c r="C580" t="s">
        <v>43</v>
      </c>
      <c r="D580" t="s">
        <v>48</v>
      </c>
      <c r="E580">
        <v>3421.5</v>
      </c>
      <c r="F580">
        <v>260</v>
      </c>
      <c r="G580">
        <v>7</v>
      </c>
      <c r="H580">
        <v>23950.5</v>
      </c>
      <c r="I580">
        <v>2874.06</v>
      </c>
      <c r="J580">
        <v>21076.44</v>
      </c>
      <c r="K580">
        <v>17107.5</v>
      </c>
      <c r="L580">
        <v>3968.9399999999987</v>
      </c>
      <c r="M580">
        <v>41821</v>
      </c>
      <c r="N580">
        <v>7</v>
      </c>
      <c r="O580" t="s">
        <v>27</v>
      </c>
      <c r="P580" t="s">
        <v>15</v>
      </c>
    </row>
    <row r="581" spans="1:16" x14ac:dyDescent="0.35">
      <c r="A581" t="s">
        <v>10</v>
      </c>
      <c r="B581" t="s">
        <v>16</v>
      </c>
      <c r="C581" t="s">
        <v>43</v>
      </c>
      <c r="D581" t="s">
        <v>48</v>
      </c>
      <c r="E581">
        <v>2734</v>
      </c>
      <c r="F581">
        <v>260</v>
      </c>
      <c r="G581">
        <v>7</v>
      </c>
      <c r="H581">
        <v>19138</v>
      </c>
      <c r="I581">
        <v>2296.56</v>
      </c>
      <c r="J581">
        <v>16841.439999999999</v>
      </c>
      <c r="K581">
        <v>13670</v>
      </c>
      <c r="L581">
        <v>3171.4399999999987</v>
      </c>
      <c r="M581">
        <v>41913</v>
      </c>
      <c r="N581">
        <v>10</v>
      </c>
      <c r="O581" t="s">
        <v>30</v>
      </c>
      <c r="P581" t="s">
        <v>15</v>
      </c>
    </row>
    <row r="582" spans="1:16" x14ac:dyDescent="0.35">
      <c r="A582" t="s">
        <v>8</v>
      </c>
      <c r="B582" t="s">
        <v>17</v>
      </c>
      <c r="C582" t="s">
        <v>43</v>
      </c>
      <c r="D582" t="s">
        <v>48</v>
      </c>
      <c r="E582">
        <v>2548</v>
      </c>
      <c r="F582">
        <v>260</v>
      </c>
      <c r="G582">
        <v>15</v>
      </c>
      <c r="H582">
        <v>38220</v>
      </c>
      <c r="I582">
        <v>4586.3999999999996</v>
      </c>
      <c r="J582">
        <v>33633.599999999999</v>
      </c>
      <c r="K582">
        <v>25480</v>
      </c>
      <c r="L582">
        <v>8153.5999999999985</v>
      </c>
      <c r="M582">
        <v>41579</v>
      </c>
      <c r="N582">
        <v>11</v>
      </c>
      <c r="O582" t="s">
        <v>31</v>
      </c>
      <c r="P582" t="s">
        <v>14</v>
      </c>
    </row>
    <row r="583" spans="1:16" x14ac:dyDescent="0.35">
      <c r="A583" t="s">
        <v>10</v>
      </c>
      <c r="B583" t="s">
        <v>18</v>
      </c>
      <c r="C583" t="s">
        <v>38</v>
      </c>
      <c r="D583" t="s">
        <v>48</v>
      </c>
      <c r="E583">
        <v>2521.5</v>
      </c>
      <c r="F583">
        <v>3</v>
      </c>
      <c r="G583">
        <v>20</v>
      </c>
      <c r="H583">
        <v>50430</v>
      </c>
      <c r="I583">
        <v>6051.6</v>
      </c>
      <c r="J583">
        <v>44378.399999999994</v>
      </c>
      <c r="K583">
        <v>25215</v>
      </c>
      <c r="L583">
        <v>19163.399999999998</v>
      </c>
      <c r="M583">
        <v>41640</v>
      </c>
      <c r="N583">
        <v>1</v>
      </c>
      <c r="O583" t="s">
        <v>21</v>
      </c>
      <c r="P583" t="s">
        <v>15</v>
      </c>
    </row>
    <row r="584" spans="1:16" x14ac:dyDescent="0.35">
      <c r="A584" t="s">
        <v>11</v>
      </c>
      <c r="B584" t="s">
        <v>20</v>
      </c>
      <c r="C584" t="s">
        <v>39</v>
      </c>
      <c r="D584" t="s">
        <v>48</v>
      </c>
      <c r="E584">
        <v>2661</v>
      </c>
      <c r="F584">
        <v>5</v>
      </c>
      <c r="G584">
        <v>12</v>
      </c>
      <c r="H584">
        <v>31932</v>
      </c>
      <c r="I584">
        <v>3831.84</v>
      </c>
      <c r="J584">
        <v>28100.16</v>
      </c>
      <c r="K584">
        <v>7983</v>
      </c>
      <c r="L584">
        <v>20117.16</v>
      </c>
      <c r="M584">
        <v>41760</v>
      </c>
      <c r="N584">
        <v>5</v>
      </c>
      <c r="O584" t="s">
        <v>25</v>
      </c>
      <c r="P584" t="s">
        <v>15</v>
      </c>
    </row>
    <row r="585" spans="1:16" x14ac:dyDescent="0.35">
      <c r="A585" t="s">
        <v>10</v>
      </c>
      <c r="B585" t="s">
        <v>19</v>
      </c>
      <c r="C585" t="s">
        <v>40</v>
      </c>
      <c r="D585" t="s">
        <v>48</v>
      </c>
      <c r="E585">
        <v>1531</v>
      </c>
      <c r="F585">
        <v>10</v>
      </c>
      <c r="G585">
        <v>20</v>
      </c>
      <c r="H585">
        <v>30620</v>
      </c>
      <c r="I585">
        <v>3674.4</v>
      </c>
      <c r="J585">
        <v>26945.599999999999</v>
      </c>
      <c r="K585">
        <v>15310</v>
      </c>
      <c r="L585">
        <v>11635.599999999999</v>
      </c>
      <c r="M585">
        <v>41974</v>
      </c>
      <c r="N585">
        <v>12</v>
      </c>
      <c r="O585" t="s">
        <v>32</v>
      </c>
      <c r="P585" t="s">
        <v>15</v>
      </c>
    </row>
    <row r="586" spans="1:16" x14ac:dyDescent="0.35">
      <c r="A586" t="s">
        <v>10</v>
      </c>
      <c r="B586" t="s">
        <v>18</v>
      </c>
      <c r="C586" t="s">
        <v>42</v>
      </c>
      <c r="D586" t="s">
        <v>48</v>
      </c>
      <c r="E586">
        <v>1491</v>
      </c>
      <c r="F586">
        <v>250</v>
      </c>
      <c r="G586">
        <v>7</v>
      </c>
      <c r="H586">
        <v>10437</v>
      </c>
      <c r="I586">
        <v>1252.44</v>
      </c>
      <c r="J586">
        <v>9184.56</v>
      </c>
      <c r="K586">
        <v>7455</v>
      </c>
      <c r="L586">
        <v>1729.5599999999995</v>
      </c>
      <c r="M586">
        <v>41699</v>
      </c>
      <c r="N586">
        <v>3</v>
      </c>
      <c r="O586" t="s">
        <v>23</v>
      </c>
      <c r="P586" t="s">
        <v>15</v>
      </c>
    </row>
    <row r="587" spans="1:16" x14ac:dyDescent="0.35">
      <c r="A587" t="s">
        <v>10</v>
      </c>
      <c r="B587" t="s">
        <v>19</v>
      </c>
      <c r="C587" t="s">
        <v>42</v>
      </c>
      <c r="D587" t="s">
        <v>48</v>
      </c>
      <c r="E587">
        <v>1531</v>
      </c>
      <c r="F587">
        <v>250</v>
      </c>
      <c r="G587">
        <v>20</v>
      </c>
      <c r="H587">
        <v>30620</v>
      </c>
      <c r="I587">
        <v>3674.4</v>
      </c>
      <c r="J587">
        <v>26945.599999999999</v>
      </c>
      <c r="K587">
        <v>15310</v>
      </c>
      <c r="L587">
        <v>11635.599999999999</v>
      </c>
      <c r="M587">
        <v>41974</v>
      </c>
      <c r="N587">
        <v>12</v>
      </c>
      <c r="O587" t="s">
        <v>32</v>
      </c>
      <c r="P587" t="s">
        <v>15</v>
      </c>
    </row>
    <row r="588" spans="1:16" x14ac:dyDescent="0.35">
      <c r="A588" t="s">
        <v>11</v>
      </c>
      <c r="B588" t="s">
        <v>16</v>
      </c>
      <c r="C588" t="s">
        <v>43</v>
      </c>
      <c r="D588" t="s">
        <v>48</v>
      </c>
      <c r="E588">
        <v>2761</v>
      </c>
      <c r="F588">
        <v>260</v>
      </c>
      <c r="G588">
        <v>12</v>
      </c>
      <c r="H588">
        <v>33132</v>
      </c>
      <c r="I588">
        <v>3975.84</v>
      </c>
      <c r="J588">
        <v>29156.16</v>
      </c>
      <c r="K588">
        <v>8283</v>
      </c>
      <c r="L588">
        <v>20873.16</v>
      </c>
      <c r="M588">
        <v>41518</v>
      </c>
      <c r="N588">
        <v>9</v>
      </c>
      <c r="O588" t="s">
        <v>29</v>
      </c>
      <c r="P588" t="s">
        <v>14</v>
      </c>
    </row>
    <row r="589" spans="1:16" x14ac:dyDescent="0.35">
      <c r="A589" t="s">
        <v>8</v>
      </c>
      <c r="B589" t="s">
        <v>17</v>
      </c>
      <c r="C589" t="s">
        <v>38</v>
      </c>
      <c r="D589" t="s">
        <v>48</v>
      </c>
      <c r="E589">
        <v>2567</v>
      </c>
      <c r="F589">
        <v>3</v>
      </c>
      <c r="G589">
        <v>15</v>
      </c>
      <c r="H589">
        <v>38505</v>
      </c>
      <c r="I589">
        <v>5005.6499999999996</v>
      </c>
      <c r="J589">
        <v>33499.35</v>
      </c>
      <c r="K589">
        <v>25670</v>
      </c>
      <c r="L589">
        <v>7829.3499999999985</v>
      </c>
      <c r="M589">
        <v>41791</v>
      </c>
      <c r="N589">
        <v>6</v>
      </c>
      <c r="O589" t="s">
        <v>26</v>
      </c>
      <c r="P589" t="s">
        <v>15</v>
      </c>
    </row>
    <row r="590" spans="1:16" x14ac:dyDescent="0.35">
      <c r="A590" t="s">
        <v>8</v>
      </c>
      <c r="B590" t="s">
        <v>17</v>
      </c>
      <c r="C590" t="s">
        <v>42</v>
      </c>
      <c r="D590" t="s">
        <v>48</v>
      </c>
      <c r="E590">
        <v>2567</v>
      </c>
      <c r="F590">
        <v>250</v>
      </c>
      <c r="G590">
        <v>15</v>
      </c>
      <c r="H590">
        <v>38505</v>
      </c>
      <c r="I590">
        <v>5005.6499999999996</v>
      </c>
      <c r="J590">
        <v>33499.35</v>
      </c>
      <c r="K590">
        <v>25670</v>
      </c>
      <c r="L590">
        <v>7829.3499999999985</v>
      </c>
      <c r="M590">
        <v>41791</v>
      </c>
      <c r="N590">
        <v>6</v>
      </c>
      <c r="O590" t="s">
        <v>26</v>
      </c>
      <c r="P590" t="s">
        <v>15</v>
      </c>
    </row>
    <row r="591" spans="1:16" x14ac:dyDescent="0.35">
      <c r="A591" t="s">
        <v>10</v>
      </c>
      <c r="B591" t="s">
        <v>16</v>
      </c>
      <c r="C591" t="s">
        <v>38</v>
      </c>
      <c r="D591" t="s">
        <v>48</v>
      </c>
      <c r="E591">
        <v>923</v>
      </c>
      <c r="F591">
        <v>3</v>
      </c>
      <c r="G591">
        <v>350</v>
      </c>
      <c r="H591">
        <v>323050</v>
      </c>
      <c r="I591">
        <v>41996.5</v>
      </c>
      <c r="J591">
        <v>281053.5</v>
      </c>
      <c r="K591">
        <v>239980</v>
      </c>
      <c r="L591">
        <v>41073.5</v>
      </c>
      <c r="M591">
        <v>41699</v>
      </c>
      <c r="N591">
        <v>3</v>
      </c>
      <c r="O591" t="s">
        <v>23</v>
      </c>
      <c r="P591" t="s">
        <v>15</v>
      </c>
    </row>
    <row r="592" spans="1:16" x14ac:dyDescent="0.35">
      <c r="A592" t="s">
        <v>10</v>
      </c>
      <c r="B592" t="s">
        <v>18</v>
      </c>
      <c r="C592" t="s">
        <v>38</v>
      </c>
      <c r="D592" t="s">
        <v>48</v>
      </c>
      <c r="E592">
        <v>1790</v>
      </c>
      <c r="F592">
        <v>3</v>
      </c>
      <c r="G592">
        <v>350</v>
      </c>
      <c r="H592">
        <v>626500</v>
      </c>
      <c r="I592">
        <v>81445</v>
      </c>
      <c r="J592">
        <v>545055</v>
      </c>
      <c r="K592">
        <v>465400</v>
      </c>
      <c r="L592">
        <v>79655</v>
      </c>
      <c r="M592">
        <v>41699</v>
      </c>
      <c r="N592">
        <v>3</v>
      </c>
      <c r="O592" t="s">
        <v>23</v>
      </c>
      <c r="P592" t="s">
        <v>15</v>
      </c>
    </row>
    <row r="593" spans="1:16" x14ac:dyDescent="0.35">
      <c r="A593" t="s">
        <v>10</v>
      </c>
      <c r="B593" t="s">
        <v>19</v>
      </c>
      <c r="C593" t="s">
        <v>38</v>
      </c>
      <c r="D593" t="s">
        <v>48</v>
      </c>
      <c r="E593">
        <v>442</v>
      </c>
      <c r="F593">
        <v>3</v>
      </c>
      <c r="G593">
        <v>20</v>
      </c>
      <c r="H593">
        <v>8840</v>
      </c>
      <c r="I593">
        <v>1149.2</v>
      </c>
      <c r="J593">
        <v>7690.8</v>
      </c>
      <c r="K593">
        <v>4420</v>
      </c>
      <c r="L593">
        <v>3270.8</v>
      </c>
      <c r="M593">
        <v>41518</v>
      </c>
      <c r="N593">
        <v>9</v>
      </c>
      <c r="O593" t="s">
        <v>29</v>
      </c>
      <c r="P593" t="s">
        <v>14</v>
      </c>
    </row>
    <row r="594" spans="1:16" x14ac:dyDescent="0.35">
      <c r="A594" t="s">
        <v>10</v>
      </c>
      <c r="B594" t="s">
        <v>17</v>
      </c>
      <c r="C594" t="s">
        <v>39</v>
      </c>
      <c r="D594" t="s">
        <v>48</v>
      </c>
      <c r="E594">
        <v>982.5</v>
      </c>
      <c r="F594">
        <v>5</v>
      </c>
      <c r="G594">
        <v>350</v>
      </c>
      <c r="H594">
        <v>343875</v>
      </c>
      <c r="I594">
        <v>44703.75</v>
      </c>
      <c r="J594">
        <v>299171.25</v>
      </c>
      <c r="K594">
        <v>255450</v>
      </c>
      <c r="L594">
        <v>43721.25</v>
      </c>
      <c r="M594">
        <v>41640</v>
      </c>
      <c r="N594">
        <v>1</v>
      </c>
      <c r="O594" t="s">
        <v>21</v>
      </c>
      <c r="P594" t="s">
        <v>15</v>
      </c>
    </row>
    <row r="595" spans="1:16" x14ac:dyDescent="0.35">
      <c r="A595" t="s">
        <v>10</v>
      </c>
      <c r="B595" t="s">
        <v>17</v>
      </c>
      <c r="C595" t="s">
        <v>39</v>
      </c>
      <c r="D595" t="s">
        <v>48</v>
      </c>
      <c r="E595">
        <v>1298</v>
      </c>
      <c r="F595">
        <v>5</v>
      </c>
      <c r="G595">
        <v>7</v>
      </c>
      <c r="H595">
        <v>9086</v>
      </c>
      <c r="I595">
        <v>1181.18</v>
      </c>
      <c r="J595">
        <v>7904.82</v>
      </c>
      <c r="K595">
        <v>6490</v>
      </c>
      <c r="L595">
        <v>1414.8199999999997</v>
      </c>
      <c r="M595">
        <v>41671</v>
      </c>
      <c r="N595">
        <v>2</v>
      </c>
      <c r="O595" t="s">
        <v>22</v>
      </c>
      <c r="P595" t="s">
        <v>15</v>
      </c>
    </row>
    <row r="596" spans="1:16" x14ac:dyDescent="0.35">
      <c r="A596" t="s">
        <v>11</v>
      </c>
      <c r="B596" t="s">
        <v>20</v>
      </c>
      <c r="C596" t="s">
        <v>39</v>
      </c>
      <c r="D596" t="s">
        <v>48</v>
      </c>
      <c r="E596">
        <v>604</v>
      </c>
      <c r="F596">
        <v>5</v>
      </c>
      <c r="G596">
        <v>12</v>
      </c>
      <c r="H596">
        <v>7248</v>
      </c>
      <c r="I596">
        <v>942.24</v>
      </c>
      <c r="J596">
        <v>6305.76</v>
      </c>
      <c r="K596">
        <v>1812</v>
      </c>
      <c r="L596">
        <v>4493.76</v>
      </c>
      <c r="M596">
        <v>41791</v>
      </c>
      <c r="N596">
        <v>6</v>
      </c>
      <c r="O596" t="s">
        <v>26</v>
      </c>
      <c r="P596" t="s">
        <v>15</v>
      </c>
    </row>
    <row r="597" spans="1:16" x14ac:dyDescent="0.35">
      <c r="A597" t="s">
        <v>10</v>
      </c>
      <c r="B597" t="s">
        <v>20</v>
      </c>
      <c r="C597" t="s">
        <v>39</v>
      </c>
      <c r="D597" t="s">
        <v>48</v>
      </c>
      <c r="E597">
        <v>2255</v>
      </c>
      <c r="F597">
        <v>5</v>
      </c>
      <c r="G597">
        <v>20</v>
      </c>
      <c r="H597">
        <v>45100</v>
      </c>
      <c r="I597">
        <v>5863</v>
      </c>
      <c r="J597">
        <v>39237</v>
      </c>
      <c r="K597">
        <v>22550</v>
      </c>
      <c r="L597">
        <v>16687</v>
      </c>
      <c r="M597">
        <v>41821</v>
      </c>
      <c r="N597">
        <v>7</v>
      </c>
      <c r="O597" t="s">
        <v>27</v>
      </c>
      <c r="P597" t="s">
        <v>15</v>
      </c>
    </row>
    <row r="598" spans="1:16" x14ac:dyDescent="0.35">
      <c r="A598" t="s">
        <v>10</v>
      </c>
      <c r="B598" t="s">
        <v>16</v>
      </c>
      <c r="C598" t="s">
        <v>39</v>
      </c>
      <c r="D598" t="s">
        <v>48</v>
      </c>
      <c r="E598">
        <v>1249</v>
      </c>
      <c r="F598">
        <v>5</v>
      </c>
      <c r="G598">
        <v>20</v>
      </c>
      <c r="H598">
        <v>24980</v>
      </c>
      <c r="I598">
        <v>3247.4</v>
      </c>
      <c r="J598">
        <v>21732.6</v>
      </c>
      <c r="K598">
        <v>12490</v>
      </c>
      <c r="L598">
        <v>9242.5999999999985</v>
      </c>
      <c r="M598">
        <v>41913</v>
      </c>
      <c r="N598">
        <v>10</v>
      </c>
      <c r="O598" t="s">
        <v>30</v>
      </c>
      <c r="P598" t="s">
        <v>15</v>
      </c>
    </row>
    <row r="599" spans="1:16" x14ac:dyDescent="0.35">
      <c r="A599" t="s">
        <v>10</v>
      </c>
      <c r="B599" t="s">
        <v>17</v>
      </c>
      <c r="C599" t="s">
        <v>40</v>
      </c>
      <c r="D599" t="s">
        <v>48</v>
      </c>
      <c r="E599">
        <v>1438.5</v>
      </c>
      <c r="F599">
        <v>10</v>
      </c>
      <c r="G599">
        <v>7</v>
      </c>
      <c r="H599">
        <v>10069.5</v>
      </c>
      <c r="I599">
        <v>1309.0350000000001</v>
      </c>
      <c r="J599">
        <v>8760.4650000000001</v>
      </c>
      <c r="K599">
        <v>7192.5</v>
      </c>
      <c r="L599">
        <v>1567.9649999999992</v>
      </c>
      <c r="M599">
        <v>41640</v>
      </c>
      <c r="N599">
        <v>1</v>
      </c>
      <c r="O599" t="s">
        <v>21</v>
      </c>
      <c r="P599" t="s">
        <v>15</v>
      </c>
    </row>
    <row r="600" spans="1:16" x14ac:dyDescent="0.35">
      <c r="A600" t="s">
        <v>7</v>
      </c>
      <c r="B600" t="s">
        <v>19</v>
      </c>
      <c r="C600" t="s">
        <v>40</v>
      </c>
      <c r="D600" t="s">
        <v>48</v>
      </c>
      <c r="E600">
        <v>807</v>
      </c>
      <c r="F600">
        <v>10</v>
      </c>
      <c r="G600">
        <v>300</v>
      </c>
      <c r="H600">
        <v>242100</v>
      </c>
      <c r="I600">
        <v>31473</v>
      </c>
      <c r="J600">
        <v>210627</v>
      </c>
      <c r="K600">
        <v>201750</v>
      </c>
      <c r="L600">
        <v>8877</v>
      </c>
      <c r="M600">
        <v>41640</v>
      </c>
      <c r="N600">
        <v>1</v>
      </c>
      <c r="O600" t="s">
        <v>21</v>
      </c>
      <c r="P600" t="s">
        <v>15</v>
      </c>
    </row>
    <row r="601" spans="1:16" x14ac:dyDescent="0.35">
      <c r="A601" t="s">
        <v>10</v>
      </c>
      <c r="B601" t="s">
        <v>17</v>
      </c>
      <c r="C601" t="s">
        <v>40</v>
      </c>
      <c r="D601" t="s">
        <v>48</v>
      </c>
      <c r="E601">
        <v>2641</v>
      </c>
      <c r="F601">
        <v>10</v>
      </c>
      <c r="G601">
        <v>20</v>
      </c>
      <c r="H601">
        <v>52820</v>
      </c>
      <c r="I601">
        <v>6866.6</v>
      </c>
      <c r="J601">
        <v>45953.4</v>
      </c>
      <c r="K601">
        <v>26410</v>
      </c>
      <c r="L601">
        <v>19543.400000000001</v>
      </c>
      <c r="M601">
        <v>41671</v>
      </c>
      <c r="N601">
        <v>2</v>
      </c>
      <c r="O601" t="s">
        <v>22</v>
      </c>
      <c r="P601" t="s">
        <v>15</v>
      </c>
    </row>
    <row r="602" spans="1:16" x14ac:dyDescent="0.35">
      <c r="A602" t="s">
        <v>10</v>
      </c>
      <c r="B602" t="s">
        <v>19</v>
      </c>
      <c r="C602" t="s">
        <v>40</v>
      </c>
      <c r="D602" t="s">
        <v>48</v>
      </c>
      <c r="E602">
        <v>2708</v>
      </c>
      <c r="F602">
        <v>10</v>
      </c>
      <c r="G602">
        <v>20</v>
      </c>
      <c r="H602">
        <v>54160</v>
      </c>
      <c r="I602">
        <v>7040.8</v>
      </c>
      <c r="J602">
        <v>47119.199999999997</v>
      </c>
      <c r="K602">
        <v>27080</v>
      </c>
      <c r="L602">
        <v>20039.199999999997</v>
      </c>
      <c r="M602">
        <v>41671</v>
      </c>
      <c r="N602">
        <v>2</v>
      </c>
      <c r="O602" t="s">
        <v>22</v>
      </c>
      <c r="P602" t="s">
        <v>15</v>
      </c>
    </row>
    <row r="603" spans="1:16" x14ac:dyDescent="0.35">
      <c r="A603" t="s">
        <v>10</v>
      </c>
      <c r="B603" t="s">
        <v>16</v>
      </c>
      <c r="C603" t="s">
        <v>40</v>
      </c>
      <c r="D603" t="s">
        <v>48</v>
      </c>
      <c r="E603">
        <v>2632</v>
      </c>
      <c r="F603">
        <v>10</v>
      </c>
      <c r="G603">
        <v>350</v>
      </c>
      <c r="H603">
        <v>921200</v>
      </c>
      <c r="I603">
        <v>119756</v>
      </c>
      <c r="J603">
        <v>801444</v>
      </c>
      <c r="K603">
        <v>684320</v>
      </c>
      <c r="L603">
        <v>117124</v>
      </c>
      <c r="M603">
        <v>41791</v>
      </c>
      <c r="N603">
        <v>6</v>
      </c>
      <c r="O603" t="s">
        <v>26</v>
      </c>
      <c r="P603" t="s">
        <v>15</v>
      </c>
    </row>
    <row r="604" spans="1:16" x14ac:dyDescent="0.35">
      <c r="A604" t="s">
        <v>9</v>
      </c>
      <c r="B604" t="s">
        <v>16</v>
      </c>
      <c r="C604" t="s">
        <v>40</v>
      </c>
      <c r="D604" t="s">
        <v>48</v>
      </c>
      <c r="E604">
        <v>1583</v>
      </c>
      <c r="F604">
        <v>10</v>
      </c>
      <c r="G604">
        <v>125</v>
      </c>
      <c r="H604">
        <v>197875</v>
      </c>
      <c r="I604">
        <v>25723.75</v>
      </c>
      <c r="J604">
        <v>172151.25</v>
      </c>
      <c r="K604">
        <v>189960</v>
      </c>
      <c r="L604">
        <v>-17808.75</v>
      </c>
      <c r="M604">
        <v>41791</v>
      </c>
      <c r="N604">
        <v>6</v>
      </c>
      <c r="O604" t="s">
        <v>26</v>
      </c>
      <c r="P604" t="s">
        <v>15</v>
      </c>
    </row>
    <row r="605" spans="1:16" x14ac:dyDescent="0.35">
      <c r="A605" t="s">
        <v>11</v>
      </c>
      <c r="B605" t="s">
        <v>20</v>
      </c>
      <c r="C605" t="s">
        <v>40</v>
      </c>
      <c r="D605" t="s">
        <v>48</v>
      </c>
      <c r="E605">
        <v>571</v>
      </c>
      <c r="F605">
        <v>10</v>
      </c>
      <c r="G605">
        <v>12</v>
      </c>
      <c r="H605">
        <v>6852</v>
      </c>
      <c r="I605">
        <v>890.76</v>
      </c>
      <c r="J605">
        <v>5961.24</v>
      </c>
      <c r="K605">
        <v>1713</v>
      </c>
      <c r="L605">
        <v>4248.24</v>
      </c>
      <c r="M605">
        <v>41821</v>
      </c>
      <c r="N605">
        <v>7</v>
      </c>
      <c r="O605" t="s">
        <v>27</v>
      </c>
      <c r="P605" t="s">
        <v>15</v>
      </c>
    </row>
    <row r="606" spans="1:16" x14ac:dyDescent="0.35">
      <c r="A606" t="s">
        <v>10</v>
      </c>
      <c r="B606" t="s">
        <v>18</v>
      </c>
      <c r="C606" t="s">
        <v>40</v>
      </c>
      <c r="D606" t="s">
        <v>48</v>
      </c>
      <c r="E606">
        <v>2696</v>
      </c>
      <c r="F606">
        <v>10</v>
      </c>
      <c r="G606">
        <v>7</v>
      </c>
      <c r="H606">
        <v>18872</v>
      </c>
      <c r="I606">
        <v>2453.36</v>
      </c>
      <c r="J606">
        <v>16418.64</v>
      </c>
      <c r="K606">
        <v>13480</v>
      </c>
      <c r="L606">
        <v>2938.6399999999994</v>
      </c>
      <c r="M606">
        <v>41852</v>
      </c>
      <c r="N606">
        <v>8</v>
      </c>
      <c r="O606" t="s">
        <v>28</v>
      </c>
      <c r="P606" t="s">
        <v>15</v>
      </c>
    </row>
    <row r="607" spans="1:16" x14ac:dyDescent="0.35">
      <c r="A607" t="s">
        <v>8</v>
      </c>
      <c r="B607" t="s">
        <v>16</v>
      </c>
      <c r="C607" t="s">
        <v>40</v>
      </c>
      <c r="D607" t="s">
        <v>48</v>
      </c>
      <c r="E607">
        <v>1565</v>
      </c>
      <c r="F607">
        <v>10</v>
      </c>
      <c r="G607">
        <v>15</v>
      </c>
      <c r="H607">
        <v>23475</v>
      </c>
      <c r="I607">
        <v>3051.75</v>
      </c>
      <c r="J607">
        <v>20423.25</v>
      </c>
      <c r="K607">
        <v>15650</v>
      </c>
      <c r="L607">
        <v>4773.25</v>
      </c>
      <c r="M607">
        <v>41913</v>
      </c>
      <c r="N607">
        <v>10</v>
      </c>
      <c r="O607" t="s">
        <v>30</v>
      </c>
      <c r="P607" t="s">
        <v>15</v>
      </c>
    </row>
    <row r="608" spans="1:16" x14ac:dyDescent="0.35">
      <c r="A608" t="s">
        <v>10</v>
      </c>
      <c r="B608" t="s">
        <v>16</v>
      </c>
      <c r="C608" t="s">
        <v>40</v>
      </c>
      <c r="D608" t="s">
        <v>48</v>
      </c>
      <c r="E608">
        <v>1249</v>
      </c>
      <c r="F608">
        <v>10</v>
      </c>
      <c r="G608">
        <v>20</v>
      </c>
      <c r="H608">
        <v>24980</v>
      </c>
      <c r="I608">
        <v>3247.4</v>
      </c>
      <c r="J608">
        <v>21732.6</v>
      </c>
      <c r="K608">
        <v>12490</v>
      </c>
      <c r="L608">
        <v>9242.5999999999985</v>
      </c>
      <c r="M608">
        <v>41913</v>
      </c>
      <c r="N608">
        <v>10</v>
      </c>
      <c r="O608" t="s">
        <v>30</v>
      </c>
      <c r="P608" t="s">
        <v>15</v>
      </c>
    </row>
    <row r="609" spans="1:16" x14ac:dyDescent="0.35">
      <c r="A609" t="s">
        <v>10</v>
      </c>
      <c r="B609" t="s">
        <v>19</v>
      </c>
      <c r="C609" t="s">
        <v>40</v>
      </c>
      <c r="D609" t="s">
        <v>48</v>
      </c>
      <c r="E609">
        <v>357</v>
      </c>
      <c r="F609">
        <v>10</v>
      </c>
      <c r="G609">
        <v>350</v>
      </c>
      <c r="H609">
        <v>124950</v>
      </c>
      <c r="I609">
        <v>16243.5</v>
      </c>
      <c r="J609">
        <v>108706.5</v>
      </c>
      <c r="K609">
        <v>92820</v>
      </c>
      <c r="L609">
        <v>15886.5</v>
      </c>
      <c r="M609">
        <v>41944</v>
      </c>
      <c r="N609">
        <v>11</v>
      </c>
      <c r="O609" t="s">
        <v>31</v>
      </c>
      <c r="P609" t="s">
        <v>15</v>
      </c>
    </row>
    <row r="610" spans="1:16" x14ac:dyDescent="0.35">
      <c r="A610" t="s">
        <v>11</v>
      </c>
      <c r="B610" t="s">
        <v>19</v>
      </c>
      <c r="C610" t="s">
        <v>40</v>
      </c>
      <c r="D610" t="s">
        <v>48</v>
      </c>
      <c r="E610">
        <v>1013</v>
      </c>
      <c r="F610">
        <v>10</v>
      </c>
      <c r="G610">
        <v>12</v>
      </c>
      <c r="H610">
        <v>12156</v>
      </c>
      <c r="I610">
        <v>1580.28</v>
      </c>
      <c r="J610">
        <v>10575.72</v>
      </c>
      <c r="K610">
        <v>3039</v>
      </c>
      <c r="L610">
        <v>7536.7199999999993</v>
      </c>
      <c r="M610">
        <v>41974</v>
      </c>
      <c r="N610">
        <v>12</v>
      </c>
      <c r="O610" t="s">
        <v>32</v>
      </c>
      <c r="P610" t="s">
        <v>15</v>
      </c>
    </row>
    <row r="611" spans="1:16" x14ac:dyDescent="0.35">
      <c r="A611" t="s">
        <v>8</v>
      </c>
      <c r="B611" t="s">
        <v>18</v>
      </c>
      <c r="C611" t="s">
        <v>41</v>
      </c>
      <c r="D611" t="s">
        <v>48</v>
      </c>
      <c r="E611">
        <v>3997.5</v>
      </c>
      <c r="F611">
        <v>120</v>
      </c>
      <c r="G611">
        <v>15</v>
      </c>
      <c r="H611">
        <v>59962.5</v>
      </c>
      <c r="I611">
        <v>7795.125</v>
      </c>
      <c r="J611">
        <v>52167.375</v>
      </c>
      <c r="K611">
        <v>39975</v>
      </c>
      <c r="L611">
        <v>12192.375</v>
      </c>
      <c r="M611">
        <v>41640</v>
      </c>
      <c r="N611">
        <v>1</v>
      </c>
      <c r="O611" t="s">
        <v>21</v>
      </c>
      <c r="P611" t="s">
        <v>15</v>
      </c>
    </row>
    <row r="612" spans="1:16" x14ac:dyDescent="0.35">
      <c r="A612" t="s">
        <v>10</v>
      </c>
      <c r="B612" t="s">
        <v>16</v>
      </c>
      <c r="C612" t="s">
        <v>41</v>
      </c>
      <c r="D612" t="s">
        <v>48</v>
      </c>
      <c r="E612">
        <v>2632</v>
      </c>
      <c r="F612">
        <v>120</v>
      </c>
      <c r="G612">
        <v>350</v>
      </c>
      <c r="H612">
        <v>921200</v>
      </c>
      <c r="I612">
        <v>119756</v>
      </c>
      <c r="J612">
        <v>801444</v>
      </c>
      <c r="K612">
        <v>684320</v>
      </c>
      <c r="L612">
        <v>117124</v>
      </c>
      <c r="M612">
        <v>41791</v>
      </c>
      <c r="N612">
        <v>6</v>
      </c>
      <c r="O612" t="s">
        <v>26</v>
      </c>
      <c r="P612" t="s">
        <v>15</v>
      </c>
    </row>
    <row r="613" spans="1:16" x14ac:dyDescent="0.35">
      <c r="A613" t="s">
        <v>10</v>
      </c>
      <c r="B613" t="s">
        <v>18</v>
      </c>
      <c r="C613" t="s">
        <v>41</v>
      </c>
      <c r="D613" t="s">
        <v>48</v>
      </c>
      <c r="E613">
        <v>1190</v>
      </c>
      <c r="F613">
        <v>120</v>
      </c>
      <c r="G613">
        <v>7</v>
      </c>
      <c r="H613">
        <v>8330</v>
      </c>
      <c r="I613">
        <v>1082.9000000000001</v>
      </c>
      <c r="J613">
        <v>7247.1</v>
      </c>
      <c r="K613">
        <v>5950</v>
      </c>
      <c r="L613">
        <v>1297.1000000000004</v>
      </c>
      <c r="M613">
        <v>41791</v>
      </c>
      <c r="N613">
        <v>6</v>
      </c>
      <c r="O613" t="s">
        <v>26</v>
      </c>
      <c r="P613" t="s">
        <v>15</v>
      </c>
    </row>
    <row r="614" spans="1:16" x14ac:dyDescent="0.35">
      <c r="A614" t="s">
        <v>11</v>
      </c>
      <c r="B614" t="s">
        <v>20</v>
      </c>
      <c r="C614" t="s">
        <v>41</v>
      </c>
      <c r="D614" t="s">
        <v>48</v>
      </c>
      <c r="E614">
        <v>604</v>
      </c>
      <c r="F614">
        <v>120</v>
      </c>
      <c r="G614">
        <v>12</v>
      </c>
      <c r="H614">
        <v>7248</v>
      </c>
      <c r="I614">
        <v>942.24</v>
      </c>
      <c r="J614">
        <v>6305.76</v>
      </c>
      <c r="K614">
        <v>1812</v>
      </c>
      <c r="L614">
        <v>4493.76</v>
      </c>
      <c r="M614">
        <v>41791</v>
      </c>
      <c r="N614">
        <v>6</v>
      </c>
      <c r="O614" t="s">
        <v>26</v>
      </c>
      <c r="P614" t="s">
        <v>15</v>
      </c>
    </row>
    <row r="615" spans="1:16" x14ac:dyDescent="0.35">
      <c r="A615" t="s">
        <v>8</v>
      </c>
      <c r="B615" t="s">
        <v>19</v>
      </c>
      <c r="C615" t="s">
        <v>41</v>
      </c>
      <c r="D615" t="s">
        <v>48</v>
      </c>
      <c r="E615">
        <v>660</v>
      </c>
      <c r="F615">
        <v>120</v>
      </c>
      <c r="G615">
        <v>15</v>
      </c>
      <c r="H615">
        <v>9900</v>
      </c>
      <c r="I615">
        <v>1287</v>
      </c>
      <c r="J615">
        <v>8613</v>
      </c>
      <c r="K615">
        <v>6600</v>
      </c>
      <c r="L615">
        <v>2013</v>
      </c>
      <c r="M615">
        <v>41518</v>
      </c>
      <c r="N615">
        <v>9</v>
      </c>
      <c r="O615" t="s">
        <v>29</v>
      </c>
      <c r="P615" t="s">
        <v>14</v>
      </c>
    </row>
    <row r="616" spans="1:16" x14ac:dyDescent="0.35">
      <c r="A616" t="s">
        <v>11</v>
      </c>
      <c r="B616" t="s">
        <v>20</v>
      </c>
      <c r="C616" t="s">
        <v>41</v>
      </c>
      <c r="D616" t="s">
        <v>48</v>
      </c>
      <c r="E616">
        <v>410</v>
      </c>
      <c r="F616">
        <v>120</v>
      </c>
      <c r="G616">
        <v>12</v>
      </c>
      <c r="H616">
        <v>4920</v>
      </c>
      <c r="I616">
        <v>639.6</v>
      </c>
      <c r="J616">
        <v>4280.3999999999996</v>
      </c>
      <c r="K616">
        <v>1230</v>
      </c>
      <c r="L616">
        <v>3050.3999999999996</v>
      </c>
      <c r="M616">
        <v>41913</v>
      </c>
      <c r="N616">
        <v>10</v>
      </c>
      <c r="O616" t="s">
        <v>30</v>
      </c>
      <c r="P616" t="s">
        <v>15</v>
      </c>
    </row>
    <row r="617" spans="1:16" x14ac:dyDescent="0.35">
      <c r="A617" t="s">
        <v>7</v>
      </c>
      <c r="B617" t="s">
        <v>20</v>
      </c>
      <c r="C617" t="s">
        <v>41</v>
      </c>
      <c r="D617" t="s">
        <v>48</v>
      </c>
      <c r="E617">
        <v>2605</v>
      </c>
      <c r="F617">
        <v>120</v>
      </c>
      <c r="G617">
        <v>300</v>
      </c>
      <c r="H617">
        <v>781500</v>
      </c>
      <c r="I617">
        <v>101595</v>
      </c>
      <c r="J617">
        <v>679905</v>
      </c>
      <c r="K617">
        <v>651250</v>
      </c>
      <c r="L617">
        <v>28655</v>
      </c>
      <c r="M617">
        <v>41579</v>
      </c>
      <c r="N617">
        <v>11</v>
      </c>
      <c r="O617" t="s">
        <v>31</v>
      </c>
      <c r="P617" t="s">
        <v>14</v>
      </c>
    </row>
    <row r="618" spans="1:16" x14ac:dyDescent="0.35">
      <c r="A618" t="s">
        <v>11</v>
      </c>
      <c r="B618" t="s">
        <v>19</v>
      </c>
      <c r="C618" t="s">
        <v>41</v>
      </c>
      <c r="D618" t="s">
        <v>48</v>
      </c>
      <c r="E618">
        <v>1013</v>
      </c>
      <c r="F618">
        <v>120</v>
      </c>
      <c r="G618">
        <v>12</v>
      </c>
      <c r="H618">
        <v>12156</v>
      </c>
      <c r="I618">
        <v>1580.28</v>
      </c>
      <c r="J618">
        <v>10575.72</v>
      </c>
      <c r="K618">
        <v>3039</v>
      </c>
      <c r="L618">
        <v>7536.7199999999993</v>
      </c>
      <c r="M618">
        <v>41974</v>
      </c>
      <c r="N618">
        <v>12</v>
      </c>
      <c r="O618" t="s">
        <v>32</v>
      </c>
      <c r="P618" t="s">
        <v>15</v>
      </c>
    </row>
    <row r="619" spans="1:16" x14ac:dyDescent="0.35">
      <c r="A619" t="s">
        <v>9</v>
      </c>
      <c r="B619" t="s">
        <v>16</v>
      </c>
      <c r="C619" t="s">
        <v>42</v>
      </c>
      <c r="D619" t="s">
        <v>48</v>
      </c>
      <c r="E619">
        <v>1583</v>
      </c>
      <c r="F619">
        <v>250</v>
      </c>
      <c r="G619">
        <v>125</v>
      </c>
      <c r="H619">
        <v>197875</v>
      </c>
      <c r="I619">
        <v>25723.75</v>
      </c>
      <c r="J619">
        <v>172151.25</v>
      </c>
      <c r="K619">
        <v>189960</v>
      </c>
      <c r="L619">
        <v>-17808.75</v>
      </c>
      <c r="M619">
        <v>41791</v>
      </c>
      <c r="N619">
        <v>6</v>
      </c>
      <c r="O619" t="s">
        <v>26</v>
      </c>
      <c r="P619" t="s">
        <v>15</v>
      </c>
    </row>
    <row r="620" spans="1:16" x14ac:dyDescent="0.35">
      <c r="A620" t="s">
        <v>8</v>
      </c>
      <c r="B620" t="s">
        <v>16</v>
      </c>
      <c r="C620" t="s">
        <v>42</v>
      </c>
      <c r="D620" t="s">
        <v>48</v>
      </c>
      <c r="E620">
        <v>1565</v>
      </c>
      <c r="F620">
        <v>250</v>
      </c>
      <c r="G620">
        <v>15</v>
      </c>
      <c r="H620">
        <v>23475</v>
      </c>
      <c r="I620">
        <v>3051.75</v>
      </c>
      <c r="J620">
        <v>20423.25</v>
      </c>
      <c r="K620">
        <v>15650</v>
      </c>
      <c r="L620">
        <v>4773.25</v>
      </c>
      <c r="M620">
        <v>41913</v>
      </c>
      <c r="N620">
        <v>10</v>
      </c>
      <c r="O620" t="s">
        <v>30</v>
      </c>
      <c r="P620" t="s">
        <v>15</v>
      </c>
    </row>
    <row r="621" spans="1:16" x14ac:dyDescent="0.35">
      <c r="A621" t="s">
        <v>9</v>
      </c>
      <c r="B621" t="s">
        <v>16</v>
      </c>
      <c r="C621" t="s">
        <v>43</v>
      </c>
      <c r="D621" t="s">
        <v>48</v>
      </c>
      <c r="E621">
        <v>1659</v>
      </c>
      <c r="F621">
        <v>260</v>
      </c>
      <c r="G621">
        <v>125</v>
      </c>
      <c r="H621">
        <v>207375</v>
      </c>
      <c r="I621">
        <v>26958.75</v>
      </c>
      <c r="J621">
        <v>180416.25</v>
      </c>
      <c r="K621">
        <v>199080</v>
      </c>
      <c r="L621">
        <v>-18663.75</v>
      </c>
      <c r="M621">
        <v>41640</v>
      </c>
      <c r="N621">
        <v>1</v>
      </c>
      <c r="O621" t="s">
        <v>21</v>
      </c>
      <c r="P621" t="s">
        <v>15</v>
      </c>
    </row>
    <row r="622" spans="1:16" x14ac:dyDescent="0.35">
      <c r="A622" t="s">
        <v>10</v>
      </c>
      <c r="B622" t="s">
        <v>18</v>
      </c>
      <c r="C622" t="s">
        <v>43</v>
      </c>
      <c r="D622" t="s">
        <v>48</v>
      </c>
      <c r="E622">
        <v>1190</v>
      </c>
      <c r="F622">
        <v>260</v>
      </c>
      <c r="G622">
        <v>7</v>
      </c>
      <c r="H622">
        <v>8330</v>
      </c>
      <c r="I622">
        <v>1082.9000000000001</v>
      </c>
      <c r="J622">
        <v>7247.1</v>
      </c>
      <c r="K622">
        <v>5950</v>
      </c>
      <c r="L622">
        <v>1297.1000000000004</v>
      </c>
      <c r="M622">
        <v>41791</v>
      </c>
      <c r="N622">
        <v>6</v>
      </c>
      <c r="O622" t="s">
        <v>26</v>
      </c>
      <c r="P622" t="s">
        <v>15</v>
      </c>
    </row>
    <row r="623" spans="1:16" x14ac:dyDescent="0.35">
      <c r="A623" t="s">
        <v>11</v>
      </c>
      <c r="B623" t="s">
        <v>20</v>
      </c>
      <c r="C623" t="s">
        <v>43</v>
      </c>
      <c r="D623" t="s">
        <v>48</v>
      </c>
      <c r="E623">
        <v>410</v>
      </c>
      <c r="F623">
        <v>260</v>
      </c>
      <c r="G623">
        <v>12</v>
      </c>
      <c r="H623">
        <v>4920</v>
      </c>
      <c r="I623">
        <v>639.6</v>
      </c>
      <c r="J623">
        <v>4280.3999999999996</v>
      </c>
      <c r="K623">
        <v>1230</v>
      </c>
      <c r="L623">
        <v>3050.3999999999996</v>
      </c>
      <c r="M623">
        <v>41913</v>
      </c>
      <c r="N623">
        <v>10</v>
      </c>
      <c r="O623" t="s">
        <v>30</v>
      </c>
      <c r="P623" t="s">
        <v>15</v>
      </c>
    </row>
    <row r="624" spans="1:16" x14ac:dyDescent="0.35">
      <c r="A624" t="s">
        <v>11</v>
      </c>
      <c r="B624" t="s">
        <v>19</v>
      </c>
      <c r="C624" t="s">
        <v>43</v>
      </c>
      <c r="D624" t="s">
        <v>48</v>
      </c>
      <c r="E624">
        <v>1770</v>
      </c>
      <c r="F624">
        <v>260</v>
      </c>
      <c r="G624">
        <v>12</v>
      </c>
      <c r="H624">
        <v>21240</v>
      </c>
      <c r="I624">
        <v>2761.2</v>
      </c>
      <c r="J624">
        <v>18478.8</v>
      </c>
      <c r="K624">
        <v>5310</v>
      </c>
      <c r="L624">
        <v>13168.8</v>
      </c>
      <c r="M624">
        <v>41609</v>
      </c>
      <c r="N624">
        <v>12</v>
      </c>
      <c r="O624" t="s">
        <v>32</v>
      </c>
      <c r="P624" t="s">
        <v>14</v>
      </c>
    </row>
    <row r="625" spans="1:16" x14ac:dyDescent="0.35">
      <c r="A625" t="s">
        <v>10</v>
      </c>
      <c r="B625" t="s">
        <v>20</v>
      </c>
      <c r="C625" t="s">
        <v>38</v>
      </c>
      <c r="D625" t="s">
        <v>48</v>
      </c>
      <c r="E625">
        <v>2579</v>
      </c>
      <c r="F625">
        <v>3</v>
      </c>
      <c r="G625">
        <v>20</v>
      </c>
      <c r="H625">
        <v>51580</v>
      </c>
      <c r="I625">
        <v>7221.2</v>
      </c>
      <c r="J625">
        <v>44358.8</v>
      </c>
      <c r="K625">
        <v>25790</v>
      </c>
      <c r="L625">
        <v>18568.800000000003</v>
      </c>
      <c r="M625">
        <v>41730</v>
      </c>
      <c r="N625">
        <v>4</v>
      </c>
      <c r="O625" t="s">
        <v>24</v>
      </c>
      <c r="P625" t="s">
        <v>15</v>
      </c>
    </row>
    <row r="626" spans="1:16" x14ac:dyDescent="0.35">
      <c r="A626" t="s">
        <v>10</v>
      </c>
      <c r="B626" t="s">
        <v>17</v>
      </c>
      <c r="C626" t="s">
        <v>38</v>
      </c>
      <c r="D626" t="s">
        <v>48</v>
      </c>
      <c r="E626">
        <v>1743</v>
      </c>
      <c r="F626">
        <v>3</v>
      </c>
      <c r="G626">
        <v>20</v>
      </c>
      <c r="H626">
        <v>34860</v>
      </c>
      <c r="I626">
        <v>4880.3999999999996</v>
      </c>
      <c r="J626">
        <v>29979.599999999999</v>
      </c>
      <c r="K626">
        <v>17430</v>
      </c>
      <c r="L626">
        <v>12549.599999999999</v>
      </c>
      <c r="M626">
        <v>41760</v>
      </c>
      <c r="N626">
        <v>5</v>
      </c>
      <c r="O626" t="s">
        <v>25</v>
      </c>
      <c r="P626" t="s">
        <v>15</v>
      </c>
    </row>
    <row r="627" spans="1:16" x14ac:dyDescent="0.35">
      <c r="A627" t="s">
        <v>10</v>
      </c>
      <c r="B627" t="s">
        <v>17</v>
      </c>
      <c r="C627" t="s">
        <v>38</v>
      </c>
      <c r="D627" t="s">
        <v>48</v>
      </c>
      <c r="E627">
        <v>2996</v>
      </c>
      <c r="F627">
        <v>3</v>
      </c>
      <c r="G627">
        <v>7</v>
      </c>
      <c r="H627">
        <v>20972</v>
      </c>
      <c r="I627">
        <v>2936.08</v>
      </c>
      <c r="J627">
        <v>18035.919999999998</v>
      </c>
      <c r="K627">
        <v>14980</v>
      </c>
      <c r="L627">
        <v>3055.9199999999983</v>
      </c>
      <c r="M627">
        <v>41548</v>
      </c>
      <c r="N627">
        <v>10</v>
      </c>
      <c r="O627" t="s">
        <v>30</v>
      </c>
      <c r="P627" t="s">
        <v>14</v>
      </c>
    </row>
    <row r="628" spans="1:16" x14ac:dyDescent="0.35">
      <c r="A628" t="s">
        <v>10</v>
      </c>
      <c r="B628" t="s">
        <v>19</v>
      </c>
      <c r="C628" t="s">
        <v>38</v>
      </c>
      <c r="D628" t="s">
        <v>48</v>
      </c>
      <c r="E628">
        <v>280</v>
      </c>
      <c r="F628">
        <v>3</v>
      </c>
      <c r="G628">
        <v>7</v>
      </c>
      <c r="H628">
        <v>1960</v>
      </c>
      <c r="I628">
        <v>274.39999999999998</v>
      </c>
      <c r="J628">
        <v>1685.6</v>
      </c>
      <c r="K628">
        <v>1400</v>
      </c>
      <c r="L628">
        <v>285.59999999999991</v>
      </c>
      <c r="M628">
        <v>41974</v>
      </c>
      <c r="N628">
        <v>12</v>
      </c>
      <c r="O628" t="s">
        <v>32</v>
      </c>
      <c r="P628" t="s">
        <v>15</v>
      </c>
    </row>
    <row r="629" spans="1:16" x14ac:dyDescent="0.35">
      <c r="A629" t="s">
        <v>10</v>
      </c>
      <c r="B629" t="s">
        <v>18</v>
      </c>
      <c r="C629" t="s">
        <v>39</v>
      </c>
      <c r="D629" t="s">
        <v>48</v>
      </c>
      <c r="E629">
        <v>293</v>
      </c>
      <c r="F629">
        <v>5</v>
      </c>
      <c r="G629">
        <v>7</v>
      </c>
      <c r="H629">
        <v>2051</v>
      </c>
      <c r="I629">
        <v>287.14</v>
      </c>
      <c r="J629">
        <v>1763.8600000000001</v>
      </c>
      <c r="K629">
        <v>1465</v>
      </c>
      <c r="L629">
        <v>298.86000000000013</v>
      </c>
      <c r="M629">
        <v>41671</v>
      </c>
      <c r="N629">
        <v>2</v>
      </c>
      <c r="O629" t="s">
        <v>22</v>
      </c>
      <c r="P629" t="s">
        <v>15</v>
      </c>
    </row>
    <row r="630" spans="1:16" x14ac:dyDescent="0.35">
      <c r="A630" t="s">
        <v>10</v>
      </c>
      <c r="B630" t="s">
        <v>17</v>
      </c>
      <c r="C630" t="s">
        <v>39</v>
      </c>
      <c r="D630" t="s">
        <v>48</v>
      </c>
      <c r="E630">
        <v>2996</v>
      </c>
      <c r="F630">
        <v>5</v>
      </c>
      <c r="G630">
        <v>7</v>
      </c>
      <c r="H630">
        <v>20972</v>
      </c>
      <c r="I630">
        <v>2936.08</v>
      </c>
      <c r="J630">
        <v>18035.919999999998</v>
      </c>
      <c r="K630">
        <v>14980</v>
      </c>
      <c r="L630">
        <v>3055.9199999999983</v>
      </c>
      <c r="M630">
        <v>41548</v>
      </c>
      <c r="N630">
        <v>10</v>
      </c>
      <c r="O630" t="s">
        <v>30</v>
      </c>
      <c r="P630" t="s">
        <v>14</v>
      </c>
    </row>
    <row r="631" spans="1:16" x14ac:dyDescent="0.35">
      <c r="A631" t="s">
        <v>8</v>
      </c>
      <c r="B631" t="s">
        <v>19</v>
      </c>
      <c r="C631" t="s">
        <v>40</v>
      </c>
      <c r="D631" t="s">
        <v>48</v>
      </c>
      <c r="E631">
        <v>278</v>
      </c>
      <c r="F631">
        <v>10</v>
      </c>
      <c r="G631">
        <v>15</v>
      </c>
      <c r="H631">
        <v>4170</v>
      </c>
      <c r="I631">
        <v>583.79999999999995</v>
      </c>
      <c r="J631">
        <v>3586.2</v>
      </c>
      <c r="K631">
        <v>2780</v>
      </c>
      <c r="L631">
        <v>806.19999999999982</v>
      </c>
      <c r="M631">
        <v>41671</v>
      </c>
      <c r="N631">
        <v>2</v>
      </c>
      <c r="O631" t="s">
        <v>22</v>
      </c>
      <c r="P631" t="s">
        <v>15</v>
      </c>
    </row>
    <row r="632" spans="1:16" x14ac:dyDescent="0.35">
      <c r="A632" t="s">
        <v>10</v>
      </c>
      <c r="B632" t="s">
        <v>16</v>
      </c>
      <c r="C632" t="s">
        <v>40</v>
      </c>
      <c r="D632" t="s">
        <v>48</v>
      </c>
      <c r="E632">
        <v>2428</v>
      </c>
      <c r="F632">
        <v>10</v>
      </c>
      <c r="G632">
        <v>20</v>
      </c>
      <c r="H632">
        <v>48560</v>
      </c>
      <c r="I632">
        <v>6798.4</v>
      </c>
      <c r="J632">
        <v>41761.599999999999</v>
      </c>
      <c r="K632">
        <v>24280</v>
      </c>
      <c r="L632">
        <v>17481.599999999999</v>
      </c>
      <c r="M632">
        <v>41699</v>
      </c>
      <c r="N632">
        <v>3</v>
      </c>
      <c r="O632" t="s">
        <v>23</v>
      </c>
      <c r="P632" t="s">
        <v>15</v>
      </c>
    </row>
    <row r="633" spans="1:16" x14ac:dyDescent="0.35">
      <c r="A633" t="s">
        <v>8</v>
      </c>
      <c r="B633" t="s">
        <v>17</v>
      </c>
      <c r="C633" t="s">
        <v>40</v>
      </c>
      <c r="D633" t="s">
        <v>48</v>
      </c>
      <c r="E633">
        <v>1767</v>
      </c>
      <c r="F633">
        <v>10</v>
      </c>
      <c r="G633">
        <v>15</v>
      </c>
      <c r="H633">
        <v>26505</v>
      </c>
      <c r="I633">
        <v>3710.7</v>
      </c>
      <c r="J633">
        <v>22794.3</v>
      </c>
      <c r="K633">
        <v>17670</v>
      </c>
      <c r="L633">
        <v>5124.2999999999993</v>
      </c>
      <c r="M633">
        <v>41883</v>
      </c>
      <c r="N633">
        <v>9</v>
      </c>
      <c r="O633" t="s">
        <v>29</v>
      </c>
      <c r="P633" t="s">
        <v>15</v>
      </c>
    </row>
    <row r="634" spans="1:16" x14ac:dyDescent="0.35">
      <c r="A634" t="s">
        <v>11</v>
      </c>
      <c r="B634" t="s">
        <v>18</v>
      </c>
      <c r="C634" t="s">
        <v>40</v>
      </c>
      <c r="D634" t="s">
        <v>48</v>
      </c>
      <c r="E634">
        <v>1393</v>
      </c>
      <c r="F634">
        <v>10</v>
      </c>
      <c r="G634">
        <v>12</v>
      </c>
      <c r="H634">
        <v>16716</v>
      </c>
      <c r="I634">
        <v>2340.2399999999998</v>
      </c>
      <c r="J634">
        <v>14375.76</v>
      </c>
      <c r="K634">
        <v>4179</v>
      </c>
      <c r="L634">
        <v>10196.76</v>
      </c>
      <c r="M634">
        <v>41913</v>
      </c>
      <c r="N634">
        <v>10</v>
      </c>
      <c r="O634" t="s">
        <v>30</v>
      </c>
      <c r="P634" t="s">
        <v>15</v>
      </c>
    </row>
    <row r="635" spans="1:16" x14ac:dyDescent="0.35">
      <c r="A635" t="s">
        <v>10</v>
      </c>
      <c r="B635" t="s">
        <v>19</v>
      </c>
      <c r="C635" t="s">
        <v>42</v>
      </c>
      <c r="D635" t="s">
        <v>48</v>
      </c>
      <c r="E635">
        <v>280</v>
      </c>
      <c r="F635">
        <v>250</v>
      </c>
      <c r="G635">
        <v>7</v>
      </c>
      <c r="H635">
        <v>1960</v>
      </c>
      <c r="I635">
        <v>274.39999999999998</v>
      </c>
      <c r="J635">
        <v>1685.6</v>
      </c>
      <c r="K635">
        <v>1400</v>
      </c>
      <c r="L635">
        <v>285.59999999999991</v>
      </c>
      <c r="M635">
        <v>41974</v>
      </c>
      <c r="N635">
        <v>12</v>
      </c>
      <c r="O635" t="s">
        <v>32</v>
      </c>
      <c r="P635" t="s">
        <v>15</v>
      </c>
    </row>
    <row r="636" spans="1:16" x14ac:dyDescent="0.35">
      <c r="A636" t="s">
        <v>11</v>
      </c>
      <c r="B636" t="s">
        <v>18</v>
      </c>
      <c r="C636" t="s">
        <v>43</v>
      </c>
      <c r="D636" t="s">
        <v>48</v>
      </c>
      <c r="E636">
        <v>1393</v>
      </c>
      <c r="F636">
        <v>260</v>
      </c>
      <c r="G636">
        <v>12</v>
      </c>
      <c r="H636">
        <v>16716</v>
      </c>
      <c r="I636">
        <v>2340.2399999999998</v>
      </c>
      <c r="J636">
        <v>14375.76</v>
      </c>
      <c r="K636">
        <v>4179</v>
      </c>
      <c r="L636">
        <v>10196.76</v>
      </c>
      <c r="M636">
        <v>41913</v>
      </c>
      <c r="N636">
        <v>10</v>
      </c>
      <c r="O636" t="s">
        <v>30</v>
      </c>
      <c r="P636" t="s">
        <v>15</v>
      </c>
    </row>
    <row r="637" spans="1:16" x14ac:dyDescent="0.35">
      <c r="A637" t="s">
        <v>11</v>
      </c>
      <c r="B637" t="s">
        <v>17</v>
      </c>
      <c r="C637" t="s">
        <v>43</v>
      </c>
      <c r="D637" t="s">
        <v>48</v>
      </c>
      <c r="E637">
        <v>2015</v>
      </c>
      <c r="F637">
        <v>260</v>
      </c>
      <c r="G637">
        <v>12</v>
      </c>
      <c r="H637">
        <v>24180</v>
      </c>
      <c r="I637">
        <v>3385.2</v>
      </c>
      <c r="J637">
        <v>20794.8</v>
      </c>
      <c r="K637">
        <v>6045</v>
      </c>
      <c r="L637">
        <v>14749.8</v>
      </c>
      <c r="M637">
        <v>41609</v>
      </c>
      <c r="N637">
        <v>12</v>
      </c>
      <c r="O637" t="s">
        <v>32</v>
      </c>
      <c r="P637" t="s">
        <v>14</v>
      </c>
    </row>
    <row r="638" spans="1:16" x14ac:dyDescent="0.35">
      <c r="A638" t="s">
        <v>7</v>
      </c>
      <c r="B638" t="s">
        <v>20</v>
      </c>
      <c r="C638" t="s">
        <v>38</v>
      </c>
      <c r="D638" t="s">
        <v>48</v>
      </c>
      <c r="E638">
        <v>801</v>
      </c>
      <c r="F638">
        <v>3</v>
      </c>
      <c r="G638">
        <v>300</v>
      </c>
      <c r="H638">
        <v>240300</v>
      </c>
      <c r="I638">
        <v>33642</v>
      </c>
      <c r="J638">
        <v>206658</v>
      </c>
      <c r="K638">
        <v>200250</v>
      </c>
      <c r="L638">
        <v>6408</v>
      </c>
      <c r="M638">
        <v>41821</v>
      </c>
      <c r="N638">
        <v>7</v>
      </c>
      <c r="O638" t="s">
        <v>27</v>
      </c>
      <c r="P638" t="s">
        <v>15</v>
      </c>
    </row>
    <row r="639" spans="1:16" x14ac:dyDescent="0.35">
      <c r="A639" t="s">
        <v>9</v>
      </c>
      <c r="B639" t="s">
        <v>18</v>
      </c>
      <c r="C639" t="s">
        <v>38</v>
      </c>
      <c r="D639" t="s">
        <v>48</v>
      </c>
      <c r="E639">
        <v>1023</v>
      </c>
      <c r="F639">
        <v>3</v>
      </c>
      <c r="G639">
        <v>125</v>
      </c>
      <c r="H639">
        <v>127875</v>
      </c>
      <c r="I639">
        <v>17902.5</v>
      </c>
      <c r="J639">
        <v>109972.5</v>
      </c>
      <c r="K639">
        <v>122760</v>
      </c>
      <c r="L639">
        <v>-12787.5</v>
      </c>
      <c r="M639">
        <v>41518</v>
      </c>
      <c r="N639">
        <v>9</v>
      </c>
      <c r="O639" t="s">
        <v>29</v>
      </c>
      <c r="P639" t="s">
        <v>14</v>
      </c>
    </row>
    <row r="640" spans="1:16" x14ac:dyDescent="0.35">
      <c r="A640" t="s">
        <v>7</v>
      </c>
      <c r="B640" t="s">
        <v>16</v>
      </c>
      <c r="C640" t="s">
        <v>38</v>
      </c>
      <c r="D640" t="s">
        <v>48</v>
      </c>
      <c r="E640">
        <v>1496</v>
      </c>
      <c r="F640">
        <v>3</v>
      </c>
      <c r="G640">
        <v>300</v>
      </c>
      <c r="H640">
        <v>448800</v>
      </c>
      <c r="I640">
        <v>62832</v>
      </c>
      <c r="J640">
        <v>385968</v>
      </c>
      <c r="K640">
        <v>374000</v>
      </c>
      <c r="L640">
        <v>11968</v>
      </c>
      <c r="M640">
        <v>41913</v>
      </c>
      <c r="N640">
        <v>10</v>
      </c>
      <c r="O640" t="s">
        <v>30</v>
      </c>
      <c r="P640" t="s">
        <v>15</v>
      </c>
    </row>
    <row r="641" spans="1:16" x14ac:dyDescent="0.35">
      <c r="A641" t="s">
        <v>7</v>
      </c>
      <c r="B641" t="s">
        <v>17</v>
      </c>
      <c r="C641" t="s">
        <v>38</v>
      </c>
      <c r="D641" t="s">
        <v>48</v>
      </c>
      <c r="E641">
        <v>1010</v>
      </c>
      <c r="F641">
        <v>3</v>
      </c>
      <c r="G641">
        <v>300</v>
      </c>
      <c r="H641">
        <v>303000</v>
      </c>
      <c r="I641">
        <v>42420</v>
      </c>
      <c r="J641">
        <v>260580</v>
      </c>
      <c r="K641">
        <v>252500</v>
      </c>
      <c r="L641">
        <v>8080</v>
      </c>
      <c r="M641">
        <v>41913</v>
      </c>
      <c r="N641">
        <v>10</v>
      </c>
      <c r="O641" t="s">
        <v>30</v>
      </c>
      <c r="P641" t="s">
        <v>15</v>
      </c>
    </row>
    <row r="642" spans="1:16" x14ac:dyDescent="0.35">
      <c r="A642" t="s">
        <v>8</v>
      </c>
      <c r="B642" t="s">
        <v>19</v>
      </c>
      <c r="C642" t="s">
        <v>38</v>
      </c>
      <c r="D642" t="s">
        <v>48</v>
      </c>
      <c r="E642">
        <v>1513</v>
      </c>
      <c r="F642">
        <v>3</v>
      </c>
      <c r="G642">
        <v>15</v>
      </c>
      <c r="H642">
        <v>22695</v>
      </c>
      <c r="I642">
        <v>3177.3</v>
      </c>
      <c r="J642">
        <v>19517.7</v>
      </c>
      <c r="K642">
        <v>15130</v>
      </c>
      <c r="L642">
        <v>4387.7000000000007</v>
      </c>
      <c r="M642">
        <v>41944</v>
      </c>
      <c r="N642">
        <v>11</v>
      </c>
      <c r="O642" t="s">
        <v>31</v>
      </c>
      <c r="P642" t="s">
        <v>15</v>
      </c>
    </row>
    <row r="643" spans="1:16" x14ac:dyDescent="0.35">
      <c r="A643" t="s">
        <v>8</v>
      </c>
      <c r="B643" t="s">
        <v>16</v>
      </c>
      <c r="C643" t="s">
        <v>38</v>
      </c>
      <c r="D643" t="s">
        <v>48</v>
      </c>
      <c r="E643">
        <v>2300</v>
      </c>
      <c r="F643">
        <v>3</v>
      </c>
      <c r="G643">
        <v>15</v>
      </c>
      <c r="H643">
        <v>34500</v>
      </c>
      <c r="I643">
        <v>4830</v>
      </c>
      <c r="J643">
        <v>29670</v>
      </c>
      <c r="K643">
        <v>23000</v>
      </c>
      <c r="L643">
        <v>6670</v>
      </c>
      <c r="M643">
        <v>41974</v>
      </c>
      <c r="N643">
        <v>12</v>
      </c>
      <c r="O643" t="s">
        <v>32</v>
      </c>
      <c r="P643" t="s">
        <v>15</v>
      </c>
    </row>
    <row r="644" spans="1:16" x14ac:dyDescent="0.35">
      <c r="A644" t="s">
        <v>9</v>
      </c>
      <c r="B644" t="s">
        <v>20</v>
      </c>
      <c r="C644" t="s">
        <v>38</v>
      </c>
      <c r="D644" t="s">
        <v>48</v>
      </c>
      <c r="E644">
        <v>2821</v>
      </c>
      <c r="F644">
        <v>3</v>
      </c>
      <c r="G644">
        <v>125</v>
      </c>
      <c r="H644">
        <v>352625</v>
      </c>
      <c r="I644">
        <v>49367.5</v>
      </c>
      <c r="J644">
        <v>303257.5</v>
      </c>
      <c r="K644">
        <v>338520</v>
      </c>
      <c r="L644">
        <v>-35262.5</v>
      </c>
      <c r="M644">
        <v>41609</v>
      </c>
      <c r="N644">
        <v>12</v>
      </c>
      <c r="O644" t="s">
        <v>32</v>
      </c>
      <c r="P644" t="s">
        <v>14</v>
      </c>
    </row>
    <row r="645" spans="1:16" x14ac:dyDescent="0.35">
      <c r="A645" t="s">
        <v>10</v>
      </c>
      <c r="B645" t="s">
        <v>16</v>
      </c>
      <c r="C645" t="s">
        <v>39</v>
      </c>
      <c r="D645" t="s">
        <v>48</v>
      </c>
      <c r="E645">
        <v>2227.5</v>
      </c>
      <c r="F645">
        <v>5</v>
      </c>
      <c r="G645">
        <v>350</v>
      </c>
      <c r="H645">
        <v>779625</v>
      </c>
      <c r="I645">
        <v>109147.5</v>
      </c>
      <c r="J645">
        <v>670477.5</v>
      </c>
      <c r="K645">
        <v>579150</v>
      </c>
      <c r="L645">
        <v>91327.5</v>
      </c>
      <c r="M645">
        <v>41640</v>
      </c>
      <c r="N645">
        <v>1</v>
      </c>
      <c r="O645" t="s">
        <v>21</v>
      </c>
      <c r="P645" t="s">
        <v>15</v>
      </c>
    </row>
    <row r="646" spans="1:16" x14ac:dyDescent="0.35">
      <c r="A646" t="s">
        <v>10</v>
      </c>
      <c r="B646" t="s">
        <v>19</v>
      </c>
      <c r="C646" t="s">
        <v>39</v>
      </c>
      <c r="D646" t="s">
        <v>48</v>
      </c>
      <c r="E646">
        <v>1199</v>
      </c>
      <c r="F646">
        <v>5</v>
      </c>
      <c r="G646">
        <v>350</v>
      </c>
      <c r="H646">
        <v>419650</v>
      </c>
      <c r="I646">
        <v>58751</v>
      </c>
      <c r="J646">
        <v>360899</v>
      </c>
      <c r="K646">
        <v>311740</v>
      </c>
      <c r="L646">
        <v>49159</v>
      </c>
      <c r="M646">
        <v>41730</v>
      </c>
      <c r="N646">
        <v>4</v>
      </c>
      <c r="O646" t="s">
        <v>24</v>
      </c>
      <c r="P646" t="s">
        <v>15</v>
      </c>
    </row>
    <row r="647" spans="1:16" x14ac:dyDescent="0.35">
      <c r="A647" t="s">
        <v>10</v>
      </c>
      <c r="B647" t="s">
        <v>16</v>
      </c>
      <c r="C647" t="s">
        <v>39</v>
      </c>
      <c r="D647" t="s">
        <v>48</v>
      </c>
      <c r="E647">
        <v>200</v>
      </c>
      <c r="F647">
        <v>5</v>
      </c>
      <c r="G647">
        <v>350</v>
      </c>
      <c r="H647">
        <v>70000</v>
      </c>
      <c r="I647">
        <v>9800</v>
      </c>
      <c r="J647">
        <v>60200</v>
      </c>
      <c r="K647">
        <v>52000</v>
      </c>
      <c r="L647">
        <v>8200</v>
      </c>
      <c r="M647">
        <v>41760</v>
      </c>
      <c r="N647">
        <v>5</v>
      </c>
      <c r="O647" t="s">
        <v>25</v>
      </c>
      <c r="P647" t="s">
        <v>15</v>
      </c>
    </row>
    <row r="648" spans="1:16" x14ac:dyDescent="0.35">
      <c r="A648" t="s">
        <v>10</v>
      </c>
      <c r="B648" t="s">
        <v>16</v>
      </c>
      <c r="C648" t="s">
        <v>39</v>
      </c>
      <c r="D648" t="s">
        <v>48</v>
      </c>
      <c r="E648">
        <v>388</v>
      </c>
      <c r="F648">
        <v>5</v>
      </c>
      <c r="G648">
        <v>7</v>
      </c>
      <c r="H648">
        <v>2716</v>
      </c>
      <c r="I648">
        <v>380.24</v>
      </c>
      <c r="J648">
        <v>2335.7600000000002</v>
      </c>
      <c r="K648">
        <v>1940</v>
      </c>
      <c r="L648">
        <v>395.76000000000022</v>
      </c>
      <c r="M648">
        <v>41883</v>
      </c>
      <c r="N648">
        <v>9</v>
      </c>
      <c r="O648" t="s">
        <v>29</v>
      </c>
      <c r="P648" t="s">
        <v>15</v>
      </c>
    </row>
    <row r="649" spans="1:16" x14ac:dyDescent="0.35">
      <c r="A649" t="s">
        <v>10</v>
      </c>
      <c r="B649" t="s">
        <v>20</v>
      </c>
      <c r="C649" t="s">
        <v>39</v>
      </c>
      <c r="D649" t="s">
        <v>48</v>
      </c>
      <c r="E649">
        <v>1727</v>
      </c>
      <c r="F649">
        <v>5</v>
      </c>
      <c r="G649">
        <v>7</v>
      </c>
      <c r="H649">
        <v>12089</v>
      </c>
      <c r="I649">
        <v>1692.46</v>
      </c>
      <c r="J649">
        <v>10396.540000000001</v>
      </c>
      <c r="K649">
        <v>8635</v>
      </c>
      <c r="L649">
        <v>1761.5400000000009</v>
      </c>
      <c r="M649">
        <v>41548</v>
      </c>
      <c r="N649">
        <v>10</v>
      </c>
      <c r="O649" t="s">
        <v>30</v>
      </c>
      <c r="P649" t="s">
        <v>14</v>
      </c>
    </row>
    <row r="650" spans="1:16" x14ac:dyDescent="0.35">
      <c r="A650" t="s">
        <v>8</v>
      </c>
      <c r="B650" t="s">
        <v>16</v>
      </c>
      <c r="C650" t="s">
        <v>39</v>
      </c>
      <c r="D650" t="s">
        <v>48</v>
      </c>
      <c r="E650">
        <v>2300</v>
      </c>
      <c r="F650">
        <v>5</v>
      </c>
      <c r="G650">
        <v>15</v>
      </c>
      <c r="H650">
        <v>34500</v>
      </c>
      <c r="I650">
        <v>4830</v>
      </c>
      <c r="J650">
        <v>29670</v>
      </c>
      <c r="K650">
        <v>23000</v>
      </c>
      <c r="L650">
        <v>6670</v>
      </c>
      <c r="M650">
        <v>41974</v>
      </c>
      <c r="N650">
        <v>12</v>
      </c>
      <c r="O650" t="s">
        <v>32</v>
      </c>
      <c r="P650" t="s">
        <v>15</v>
      </c>
    </row>
    <row r="651" spans="1:16" x14ac:dyDescent="0.35">
      <c r="A651" t="s">
        <v>10</v>
      </c>
      <c r="B651" t="s">
        <v>20</v>
      </c>
      <c r="C651" t="s">
        <v>40</v>
      </c>
      <c r="D651" t="s">
        <v>48</v>
      </c>
      <c r="E651">
        <v>260</v>
      </c>
      <c r="F651">
        <v>10</v>
      </c>
      <c r="G651">
        <v>20</v>
      </c>
      <c r="H651">
        <v>5200</v>
      </c>
      <c r="I651">
        <v>728</v>
      </c>
      <c r="J651">
        <v>4472</v>
      </c>
      <c r="K651">
        <v>2600</v>
      </c>
      <c r="L651">
        <v>1872</v>
      </c>
      <c r="M651">
        <v>41671</v>
      </c>
      <c r="N651">
        <v>2</v>
      </c>
      <c r="O651" t="s">
        <v>22</v>
      </c>
      <c r="P651" t="s">
        <v>15</v>
      </c>
    </row>
    <row r="652" spans="1:16" x14ac:dyDescent="0.35">
      <c r="A652" t="s">
        <v>8</v>
      </c>
      <c r="B652" t="s">
        <v>16</v>
      </c>
      <c r="C652" t="s">
        <v>40</v>
      </c>
      <c r="D652" t="s">
        <v>48</v>
      </c>
      <c r="E652">
        <v>2470</v>
      </c>
      <c r="F652">
        <v>10</v>
      </c>
      <c r="G652">
        <v>15</v>
      </c>
      <c r="H652">
        <v>37050</v>
      </c>
      <c r="I652">
        <v>5187</v>
      </c>
      <c r="J652">
        <v>31863</v>
      </c>
      <c r="K652">
        <v>24700</v>
      </c>
      <c r="L652">
        <v>7163</v>
      </c>
      <c r="M652">
        <v>41518</v>
      </c>
      <c r="N652">
        <v>9</v>
      </c>
      <c r="O652" t="s">
        <v>29</v>
      </c>
      <c r="P652" t="s">
        <v>14</v>
      </c>
    </row>
    <row r="653" spans="1:16" x14ac:dyDescent="0.35">
      <c r="A653" t="s">
        <v>8</v>
      </c>
      <c r="B653" t="s">
        <v>16</v>
      </c>
      <c r="C653" t="s">
        <v>40</v>
      </c>
      <c r="D653" t="s">
        <v>48</v>
      </c>
      <c r="E653">
        <v>1743</v>
      </c>
      <c r="F653">
        <v>10</v>
      </c>
      <c r="G653">
        <v>15</v>
      </c>
      <c r="H653">
        <v>26145</v>
      </c>
      <c r="I653">
        <v>3660.3</v>
      </c>
      <c r="J653">
        <v>22484.7</v>
      </c>
      <c r="K653">
        <v>17430</v>
      </c>
      <c r="L653">
        <v>5054.7000000000007</v>
      </c>
      <c r="M653">
        <v>41548</v>
      </c>
      <c r="N653">
        <v>10</v>
      </c>
      <c r="O653" t="s">
        <v>30</v>
      </c>
      <c r="P653" t="s">
        <v>14</v>
      </c>
    </row>
    <row r="654" spans="1:16" x14ac:dyDescent="0.35">
      <c r="A654" t="s">
        <v>11</v>
      </c>
      <c r="B654" t="s">
        <v>17</v>
      </c>
      <c r="C654" t="s">
        <v>40</v>
      </c>
      <c r="D654" t="s">
        <v>48</v>
      </c>
      <c r="E654">
        <v>2914</v>
      </c>
      <c r="F654">
        <v>10</v>
      </c>
      <c r="G654">
        <v>12</v>
      </c>
      <c r="H654">
        <v>34968</v>
      </c>
      <c r="I654">
        <v>4895.5200000000004</v>
      </c>
      <c r="J654">
        <v>30072.48</v>
      </c>
      <c r="K654">
        <v>8742</v>
      </c>
      <c r="L654">
        <v>21330.48</v>
      </c>
      <c r="M654">
        <v>41913</v>
      </c>
      <c r="N654">
        <v>10</v>
      </c>
      <c r="O654" t="s">
        <v>30</v>
      </c>
      <c r="P654" t="s">
        <v>15</v>
      </c>
    </row>
    <row r="655" spans="1:16" x14ac:dyDescent="0.35">
      <c r="A655" t="s">
        <v>10</v>
      </c>
      <c r="B655" t="s">
        <v>18</v>
      </c>
      <c r="C655" t="s">
        <v>40</v>
      </c>
      <c r="D655" t="s">
        <v>48</v>
      </c>
      <c r="E655">
        <v>1731</v>
      </c>
      <c r="F655">
        <v>10</v>
      </c>
      <c r="G655">
        <v>7</v>
      </c>
      <c r="H655">
        <v>12117</v>
      </c>
      <c r="I655">
        <v>1696.38</v>
      </c>
      <c r="J655">
        <v>10420.619999999999</v>
      </c>
      <c r="K655">
        <v>8655</v>
      </c>
      <c r="L655">
        <v>1765.619999999999</v>
      </c>
      <c r="M655">
        <v>41913</v>
      </c>
      <c r="N655">
        <v>10</v>
      </c>
      <c r="O655" t="s">
        <v>30</v>
      </c>
      <c r="P655" t="s">
        <v>15</v>
      </c>
    </row>
    <row r="656" spans="1:16" x14ac:dyDescent="0.35">
      <c r="A656" t="s">
        <v>10</v>
      </c>
      <c r="B656" t="s">
        <v>16</v>
      </c>
      <c r="C656" t="s">
        <v>40</v>
      </c>
      <c r="D656" t="s">
        <v>48</v>
      </c>
      <c r="E656">
        <v>700</v>
      </c>
      <c r="F656">
        <v>10</v>
      </c>
      <c r="G656">
        <v>350</v>
      </c>
      <c r="H656">
        <v>245000</v>
      </c>
      <c r="I656">
        <v>34300</v>
      </c>
      <c r="J656">
        <v>210700</v>
      </c>
      <c r="K656">
        <v>182000</v>
      </c>
      <c r="L656">
        <v>28700</v>
      </c>
      <c r="M656">
        <v>41944</v>
      </c>
      <c r="N656">
        <v>11</v>
      </c>
      <c r="O656" t="s">
        <v>31</v>
      </c>
      <c r="P656" t="s">
        <v>15</v>
      </c>
    </row>
    <row r="657" spans="1:16" x14ac:dyDescent="0.35">
      <c r="A657" t="s">
        <v>11</v>
      </c>
      <c r="B657" t="s">
        <v>16</v>
      </c>
      <c r="C657" t="s">
        <v>40</v>
      </c>
      <c r="D657" t="s">
        <v>48</v>
      </c>
      <c r="E657">
        <v>2222</v>
      </c>
      <c r="F657">
        <v>10</v>
      </c>
      <c r="G657">
        <v>12</v>
      </c>
      <c r="H657">
        <v>26664</v>
      </c>
      <c r="I657">
        <v>3732.96</v>
      </c>
      <c r="J657">
        <v>22931.040000000001</v>
      </c>
      <c r="K657">
        <v>6666</v>
      </c>
      <c r="L657">
        <v>16265.04</v>
      </c>
      <c r="M657">
        <v>41579</v>
      </c>
      <c r="N657">
        <v>11</v>
      </c>
      <c r="O657" t="s">
        <v>31</v>
      </c>
      <c r="P657" t="s">
        <v>14</v>
      </c>
    </row>
    <row r="658" spans="1:16" x14ac:dyDescent="0.35">
      <c r="A658" t="s">
        <v>10</v>
      </c>
      <c r="B658" t="s">
        <v>17</v>
      </c>
      <c r="C658" t="s">
        <v>40</v>
      </c>
      <c r="D658" t="s">
        <v>48</v>
      </c>
      <c r="E658">
        <v>1177</v>
      </c>
      <c r="F658">
        <v>10</v>
      </c>
      <c r="G658">
        <v>350</v>
      </c>
      <c r="H658">
        <v>411950</v>
      </c>
      <c r="I658">
        <v>57673</v>
      </c>
      <c r="J658">
        <v>354277</v>
      </c>
      <c r="K658">
        <v>306020</v>
      </c>
      <c r="L658">
        <v>48257</v>
      </c>
      <c r="M658">
        <v>41944</v>
      </c>
      <c r="N658">
        <v>11</v>
      </c>
      <c r="O658" t="s">
        <v>31</v>
      </c>
      <c r="P658" t="s">
        <v>15</v>
      </c>
    </row>
    <row r="659" spans="1:16" x14ac:dyDescent="0.35">
      <c r="A659" t="s">
        <v>10</v>
      </c>
      <c r="B659" t="s">
        <v>18</v>
      </c>
      <c r="C659" t="s">
        <v>40</v>
      </c>
      <c r="D659" t="s">
        <v>48</v>
      </c>
      <c r="E659">
        <v>1922</v>
      </c>
      <c r="F659">
        <v>10</v>
      </c>
      <c r="G659">
        <v>350</v>
      </c>
      <c r="H659">
        <v>672700</v>
      </c>
      <c r="I659">
        <v>94178</v>
      </c>
      <c r="J659">
        <v>578522</v>
      </c>
      <c r="K659">
        <v>499720</v>
      </c>
      <c r="L659">
        <v>78802</v>
      </c>
      <c r="M659">
        <v>41579</v>
      </c>
      <c r="N659">
        <v>11</v>
      </c>
      <c r="O659" t="s">
        <v>31</v>
      </c>
      <c r="P659" t="s">
        <v>14</v>
      </c>
    </row>
    <row r="660" spans="1:16" x14ac:dyDescent="0.35">
      <c r="A660" t="s">
        <v>9</v>
      </c>
      <c r="B660" t="s">
        <v>20</v>
      </c>
      <c r="C660" t="s">
        <v>41</v>
      </c>
      <c r="D660" t="s">
        <v>48</v>
      </c>
      <c r="E660">
        <v>1575</v>
      </c>
      <c r="F660">
        <v>120</v>
      </c>
      <c r="G660">
        <v>125</v>
      </c>
      <c r="H660">
        <v>196875</v>
      </c>
      <c r="I660">
        <v>27562.5</v>
      </c>
      <c r="J660">
        <v>169312.5</v>
      </c>
      <c r="K660">
        <v>189000</v>
      </c>
      <c r="L660">
        <v>-19687.5</v>
      </c>
      <c r="M660">
        <v>41671</v>
      </c>
      <c r="N660">
        <v>2</v>
      </c>
      <c r="O660" t="s">
        <v>22</v>
      </c>
      <c r="P660" t="s">
        <v>15</v>
      </c>
    </row>
    <row r="661" spans="1:16" x14ac:dyDescent="0.35">
      <c r="A661" t="s">
        <v>10</v>
      </c>
      <c r="B661" t="s">
        <v>17</v>
      </c>
      <c r="C661" t="s">
        <v>41</v>
      </c>
      <c r="D661" t="s">
        <v>48</v>
      </c>
      <c r="E661">
        <v>606</v>
      </c>
      <c r="F661">
        <v>120</v>
      </c>
      <c r="G661">
        <v>20</v>
      </c>
      <c r="H661">
        <v>12120</v>
      </c>
      <c r="I661">
        <v>1696.8000000000002</v>
      </c>
      <c r="J661">
        <v>10423.200000000001</v>
      </c>
      <c r="K661">
        <v>6060</v>
      </c>
      <c r="L661">
        <v>4363.2000000000007</v>
      </c>
      <c r="M661">
        <v>41730</v>
      </c>
      <c r="N661">
        <v>4</v>
      </c>
      <c r="O661" t="s">
        <v>24</v>
      </c>
      <c r="P661" t="s">
        <v>15</v>
      </c>
    </row>
    <row r="662" spans="1:16" x14ac:dyDescent="0.35">
      <c r="A662" t="s">
        <v>7</v>
      </c>
      <c r="B662" t="s">
        <v>17</v>
      </c>
      <c r="C662" t="s">
        <v>41</v>
      </c>
      <c r="D662" t="s">
        <v>48</v>
      </c>
      <c r="E662">
        <v>2460</v>
      </c>
      <c r="F662">
        <v>120</v>
      </c>
      <c r="G662">
        <v>300</v>
      </c>
      <c r="H662">
        <v>738000</v>
      </c>
      <c r="I662">
        <v>103320</v>
      </c>
      <c r="J662">
        <v>634680</v>
      </c>
      <c r="K662">
        <v>615000</v>
      </c>
      <c r="L662">
        <v>19680</v>
      </c>
      <c r="M662">
        <v>41821</v>
      </c>
      <c r="N662">
        <v>7</v>
      </c>
      <c r="O662" t="s">
        <v>27</v>
      </c>
      <c r="P662" t="s">
        <v>15</v>
      </c>
    </row>
    <row r="663" spans="1:16" x14ac:dyDescent="0.35">
      <c r="A663" t="s">
        <v>7</v>
      </c>
      <c r="B663" t="s">
        <v>16</v>
      </c>
      <c r="C663" t="s">
        <v>41</v>
      </c>
      <c r="D663" t="s">
        <v>48</v>
      </c>
      <c r="E663">
        <v>269</v>
      </c>
      <c r="F663">
        <v>120</v>
      </c>
      <c r="G663">
        <v>300</v>
      </c>
      <c r="H663">
        <v>80700</v>
      </c>
      <c r="I663">
        <v>11298</v>
      </c>
      <c r="J663">
        <v>69402</v>
      </c>
      <c r="K663">
        <v>67250</v>
      </c>
      <c r="L663">
        <v>2152</v>
      </c>
      <c r="M663">
        <v>41548</v>
      </c>
      <c r="N663">
        <v>10</v>
      </c>
      <c r="O663" t="s">
        <v>30</v>
      </c>
      <c r="P663" t="s">
        <v>14</v>
      </c>
    </row>
    <row r="664" spans="1:16" x14ac:dyDescent="0.35">
      <c r="A664" t="s">
        <v>7</v>
      </c>
      <c r="B664" t="s">
        <v>19</v>
      </c>
      <c r="C664" t="s">
        <v>41</v>
      </c>
      <c r="D664" t="s">
        <v>48</v>
      </c>
      <c r="E664">
        <v>2536</v>
      </c>
      <c r="F664">
        <v>120</v>
      </c>
      <c r="G664">
        <v>300</v>
      </c>
      <c r="H664">
        <v>760800</v>
      </c>
      <c r="I664">
        <v>106512</v>
      </c>
      <c r="J664">
        <v>654288</v>
      </c>
      <c r="K664">
        <v>634000</v>
      </c>
      <c r="L664">
        <v>20288</v>
      </c>
      <c r="M664">
        <v>41579</v>
      </c>
      <c r="N664">
        <v>11</v>
      </c>
      <c r="O664" t="s">
        <v>31</v>
      </c>
      <c r="P664" t="s">
        <v>14</v>
      </c>
    </row>
    <row r="665" spans="1:16" x14ac:dyDescent="0.35">
      <c r="A665" t="s">
        <v>10</v>
      </c>
      <c r="B665" t="s">
        <v>20</v>
      </c>
      <c r="C665" t="s">
        <v>42</v>
      </c>
      <c r="D665" t="s">
        <v>48</v>
      </c>
      <c r="E665">
        <v>2903</v>
      </c>
      <c r="F665">
        <v>250</v>
      </c>
      <c r="G665">
        <v>7</v>
      </c>
      <c r="H665">
        <v>20321</v>
      </c>
      <c r="I665">
        <v>2844.94</v>
      </c>
      <c r="J665">
        <v>17476.060000000001</v>
      </c>
      <c r="K665">
        <v>14515</v>
      </c>
      <c r="L665">
        <v>2961.0600000000013</v>
      </c>
      <c r="M665">
        <v>41699</v>
      </c>
      <c r="N665">
        <v>3</v>
      </c>
      <c r="O665" t="s">
        <v>23</v>
      </c>
      <c r="P665" t="s">
        <v>15</v>
      </c>
    </row>
    <row r="666" spans="1:16" x14ac:dyDescent="0.35">
      <c r="A666" t="s">
        <v>7</v>
      </c>
      <c r="B666" t="s">
        <v>17</v>
      </c>
      <c r="C666" t="s">
        <v>42</v>
      </c>
      <c r="D666" t="s">
        <v>48</v>
      </c>
      <c r="E666">
        <v>2541</v>
      </c>
      <c r="F666">
        <v>250</v>
      </c>
      <c r="G666">
        <v>300</v>
      </c>
      <c r="H666">
        <v>762300</v>
      </c>
      <c r="I666">
        <v>106722</v>
      </c>
      <c r="J666">
        <v>655578</v>
      </c>
      <c r="K666">
        <v>635250</v>
      </c>
      <c r="L666">
        <v>20328</v>
      </c>
      <c r="M666">
        <v>41852</v>
      </c>
      <c r="N666">
        <v>8</v>
      </c>
      <c r="O666" t="s">
        <v>28</v>
      </c>
      <c r="P666" t="s">
        <v>15</v>
      </c>
    </row>
    <row r="667" spans="1:16" x14ac:dyDescent="0.35">
      <c r="A667" t="s">
        <v>7</v>
      </c>
      <c r="B667" t="s">
        <v>16</v>
      </c>
      <c r="C667" t="s">
        <v>42</v>
      </c>
      <c r="D667" t="s">
        <v>48</v>
      </c>
      <c r="E667">
        <v>269</v>
      </c>
      <c r="F667">
        <v>250</v>
      </c>
      <c r="G667">
        <v>300</v>
      </c>
      <c r="H667">
        <v>80700</v>
      </c>
      <c r="I667">
        <v>11298</v>
      </c>
      <c r="J667">
        <v>69402</v>
      </c>
      <c r="K667">
        <v>67250</v>
      </c>
      <c r="L667">
        <v>2152</v>
      </c>
      <c r="M667">
        <v>41548</v>
      </c>
      <c r="N667">
        <v>10</v>
      </c>
      <c r="O667" t="s">
        <v>30</v>
      </c>
      <c r="P667" t="s">
        <v>14</v>
      </c>
    </row>
    <row r="668" spans="1:16" x14ac:dyDescent="0.35">
      <c r="A668" t="s">
        <v>7</v>
      </c>
      <c r="B668" t="s">
        <v>16</v>
      </c>
      <c r="C668" t="s">
        <v>42</v>
      </c>
      <c r="D668" t="s">
        <v>48</v>
      </c>
      <c r="E668">
        <v>1496</v>
      </c>
      <c r="F668">
        <v>250</v>
      </c>
      <c r="G668">
        <v>300</v>
      </c>
      <c r="H668">
        <v>448800</v>
      </c>
      <c r="I668">
        <v>62832</v>
      </c>
      <c r="J668">
        <v>385968</v>
      </c>
      <c r="K668">
        <v>374000</v>
      </c>
      <c r="L668">
        <v>11968</v>
      </c>
      <c r="M668">
        <v>41913</v>
      </c>
      <c r="N668">
        <v>10</v>
      </c>
      <c r="O668" t="s">
        <v>30</v>
      </c>
      <c r="P668" t="s">
        <v>15</v>
      </c>
    </row>
    <row r="669" spans="1:16" x14ac:dyDescent="0.35">
      <c r="A669" t="s">
        <v>7</v>
      </c>
      <c r="B669" t="s">
        <v>17</v>
      </c>
      <c r="C669" t="s">
        <v>42</v>
      </c>
      <c r="D669" t="s">
        <v>48</v>
      </c>
      <c r="E669">
        <v>1010</v>
      </c>
      <c r="F669">
        <v>250</v>
      </c>
      <c r="G669">
        <v>300</v>
      </c>
      <c r="H669">
        <v>303000</v>
      </c>
      <c r="I669">
        <v>42420</v>
      </c>
      <c r="J669">
        <v>260580</v>
      </c>
      <c r="K669">
        <v>252500</v>
      </c>
      <c r="L669">
        <v>8080</v>
      </c>
      <c r="M669">
        <v>41913</v>
      </c>
      <c r="N669">
        <v>10</v>
      </c>
      <c r="O669" t="s">
        <v>30</v>
      </c>
      <c r="P669" t="s">
        <v>15</v>
      </c>
    </row>
    <row r="670" spans="1:16" x14ac:dyDescent="0.35">
      <c r="A670" t="s">
        <v>10</v>
      </c>
      <c r="B670" t="s">
        <v>18</v>
      </c>
      <c r="C670" t="s">
        <v>42</v>
      </c>
      <c r="D670" t="s">
        <v>48</v>
      </c>
      <c r="E670">
        <v>1281</v>
      </c>
      <c r="F670">
        <v>250</v>
      </c>
      <c r="G670">
        <v>350</v>
      </c>
      <c r="H670">
        <v>448350</v>
      </c>
      <c r="I670">
        <v>62769</v>
      </c>
      <c r="J670">
        <v>385581</v>
      </c>
      <c r="K670">
        <v>333060</v>
      </c>
      <c r="L670">
        <v>52521</v>
      </c>
      <c r="M670">
        <v>41609</v>
      </c>
      <c r="N670">
        <v>12</v>
      </c>
      <c r="O670" t="s">
        <v>32</v>
      </c>
      <c r="P670" t="s">
        <v>14</v>
      </c>
    </row>
    <row r="671" spans="1:16" x14ac:dyDescent="0.35">
      <c r="A671" t="s">
        <v>7</v>
      </c>
      <c r="B671" t="s">
        <v>16</v>
      </c>
      <c r="C671" t="s">
        <v>43</v>
      </c>
      <c r="D671" t="s">
        <v>48</v>
      </c>
      <c r="E671">
        <v>888</v>
      </c>
      <c r="F671">
        <v>260</v>
      </c>
      <c r="G671">
        <v>300</v>
      </c>
      <c r="H671">
        <v>266400</v>
      </c>
      <c r="I671">
        <v>37296</v>
      </c>
      <c r="J671">
        <v>229104</v>
      </c>
      <c r="K671">
        <v>222000</v>
      </c>
      <c r="L671">
        <v>7104</v>
      </c>
      <c r="M671">
        <v>41699</v>
      </c>
      <c r="N671">
        <v>3</v>
      </c>
      <c r="O671" t="s">
        <v>23</v>
      </c>
      <c r="P671" t="s">
        <v>15</v>
      </c>
    </row>
    <row r="672" spans="1:16" x14ac:dyDescent="0.35">
      <c r="A672" t="s">
        <v>9</v>
      </c>
      <c r="B672" t="s">
        <v>17</v>
      </c>
      <c r="C672" t="s">
        <v>43</v>
      </c>
      <c r="D672" t="s">
        <v>48</v>
      </c>
      <c r="E672">
        <v>2844</v>
      </c>
      <c r="F672">
        <v>260</v>
      </c>
      <c r="G672">
        <v>125</v>
      </c>
      <c r="H672">
        <v>355500</v>
      </c>
      <c r="I672">
        <v>49770</v>
      </c>
      <c r="J672">
        <v>305730</v>
      </c>
      <c r="K672">
        <v>341280</v>
      </c>
      <c r="L672">
        <v>-35550</v>
      </c>
      <c r="M672">
        <v>41760</v>
      </c>
      <c r="N672">
        <v>5</v>
      </c>
      <c r="O672" t="s">
        <v>25</v>
      </c>
      <c r="P672" t="s">
        <v>15</v>
      </c>
    </row>
    <row r="673" spans="1:16" x14ac:dyDescent="0.35">
      <c r="A673" t="s">
        <v>11</v>
      </c>
      <c r="B673" t="s">
        <v>18</v>
      </c>
      <c r="C673" t="s">
        <v>43</v>
      </c>
      <c r="D673" t="s">
        <v>48</v>
      </c>
      <c r="E673">
        <v>2475</v>
      </c>
      <c r="F673">
        <v>260</v>
      </c>
      <c r="G673">
        <v>12</v>
      </c>
      <c r="H673">
        <v>29700</v>
      </c>
      <c r="I673">
        <v>4158</v>
      </c>
      <c r="J673">
        <v>25542</v>
      </c>
      <c r="K673">
        <v>7425</v>
      </c>
      <c r="L673">
        <v>18117</v>
      </c>
      <c r="M673">
        <v>41852</v>
      </c>
      <c r="N673">
        <v>8</v>
      </c>
      <c r="O673" t="s">
        <v>28</v>
      </c>
      <c r="P673" t="s">
        <v>15</v>
      </c>
    </row>
    <row r="674" spans="1:16" x14ac:dyDescent="0.35">
      <c r="A674" t="s">
        <v>8</v>
      </c>
      <c r="B674" t="s">
        <v>16</v>
      </c>
      <c r="C674" t="s">
        <v>43</v>
      </c>
      <c r="D674" t="s">
        <v>48</v>
      </c>
      <c r="E674">
        <v>1743</v>
      </c>
      <c r="F674">
        <v>260</v>
      </c>
      <c r="G674">
        <v>15</v>
      </c>
      <c r="H674">
        <v>26145</v>
      </c>
      <c r="I674">
        <v>3660.3</v>
      </c>
      <c r="J674">
        <v>22484.7</v>
      </c>
      <c r="K674">
        <v>17430</v>
      </c>
      <c r="L674">
        <v>5054.7000000000007</v>
      </c>
      <c r="M674">
        <v>41548</v>
      </c>
      <c r="N674">
        <v>10</v>
      </c>
      <c r="O674" t="s">
        <v>30</v>
      </c>
      <c r="P674" t="s">
        <v>14</v>
      </c>
    </row>
    <row r="675" spans="1:16" x14ac:dyDescent="0.35">
      <c r="A675" t="s">
        <v>11</v>
      </c>
      <c r="B675" t="s">
        <v>17</v>
      </c>
      <c r="C675" t="s">
        <v>43</v>
      </c>
      <c r="D675" t="s">
        <v>48</v>
      </c>
      <c r="E675">
        <v>2914</v>
      </c>
      <c r="F675">
        <v>260</v>
      </c>
      <c r="G675">
        <v>12</v>
      </c>
      <c r="H675">
        <v>34968</v>
      </c>
      <c r="I675">
        <v>4895.5200000000004</v>
      </c>
      <c r="J675">
        <v>30072.48</v>
      </c>
      <c r="K675">
        <v>8742</v>
      </c>
      <c r="L675">
        <v>21330.48</v>
      </c>
      <c r="M675">
        <v>41913</v>
      </c>
      <c r="N675">
        <v>10</v>
      </c>
      <c r="O675" t="s">
        <v>30</v>
      </c>
      <c r="P675" t="s">
        <v>15</v>
      </c>
    </row>
    <row r="676" spans="1:16" x14ac:dyDescent="0.35">
      <c r="A676" t="s">
        <v>10</v>
      </c>
      <c r="B676" t="s">
        <v>18</v>
      </c>
      <c r="C676" t="s">
        <v>43</v>
      </c>
      <c r="D676" t="s">
        <v>48</v>
      </c>
      <c r="E676">
        <v>1731</v>
      </c>
      <c r="F676">
        <v>260</v>
      </c>
      <c r="G676">
        <v>7</v>
      </c>
      <c r="H676">
        <v>12117</v>
      </c>
      <c r="I676">
        <v>1696.38</v>
      </c>
      <c r="J676">
        <v>10420.619999999999</v>
      </c>
      <c r="K676">
        <v>8655</v>
      </c>
      <c r="L676">
        <v>1765.619999999999</v>
      </c>
      <c r="M676">
        <v>41913</v>
      </c>
      <c r="N676">
        <v>10</v>
      </c>
      <c r="O676" t="s">
        <v>30</v>
      </c>
      <c r="P676" t="s">
        <v>15</v>
      </c>
    </row>
    <row r="677" spans="1:16" x14ac:dyDescent="0.35">
      <c r="A677" t="s">
        <v>10</v>
      </c>
      <c r="B677" t="s">
        <v>20</v>
      </c>
      <c r="C677" t="s">
        <v>43</v>
      </c>
      <c r="D677" t="s">
        <v>48</v>
      </c>
      <c r="E677">
        <v>1727</v>
      </c>
      <c r="F677">
        <v>260</v>
      </c>
      <c r="G677">
        <v>7</v>
      </c>
      <c r="H677">
        <v>12089</v>
      </c>
      <c r="I677">
        <v>1692.46</v>
      </c>
      <c r="J677">
        <v>10396.540000000001</v>
      </c>
      <c r="K677">
        <v>8635</v>
      </c>
      <c r="L677">
        <v>1761.5400000000009</v>
      </c>
      <c r="M677">
        <v>41548</v>
      </c>
      <c r="N677">
        <v>10</v>
      </c>
      <c r="O677" t="s">
        <v>30</v>
      </c>
      <c r="P677" t="s">
        <v>14</v>
      </c>
    </row>
    <row r="678" spans="1:16" x14ac:dyDescent="0.35">
      <c r="A678" t="s">
        <v>8</v>
      </c>
      <c r="B678" t="s">
        <v>20</v>
      </c>
      <c r="C678" t="s">
        <v>43</v>
      </c>
      <c r="D678" t="s">
        <v>48</v>
      </c>
      <c r="E678">
        <v>1870</v>
      </c>
      <c r="F678">
        <v>260</v>
      </c>
      <c r="G678">
        <v>15</v>
      </c>
      <c r="H678">
        <v>28050</v>
      </c>
      <c r="I678">
        <v>3927</v>
      </c>
      <c r="J678">
        <v>24123</v>
      </c>
      <c r="K678">
        <v>18700</v>
      </c>
      <c r="L678">
        <v>5423</v>
      </c>
      <c r="M678">
        <v>41579</v>
      </c>
      <c r="N678">
        <v>11</v>
      </c>
      <c r="O678" t="s">
        <v>31</v>
      </c>
      <c r="P678" t="s">
        <v>14</v>
      </c>
    </row>
    <row r="679" spans="1:16" x14ac:dyDescent="0.35">
      <c r="A679" t="s">
        <v>9</v>
      </c>
      <c r="B679" t="s">
        <v>18</v>
      </c>
      <c r="C679" t="s">
        <v>38</v>
      </c>
      <c r="D679" t="s">
        <v>48</v>
      </c>
      <c r="E679">
        <v>1174</v>
      </c>
      <c r="F679">
        <v>3</v>
      </c>
      <c r="G679">
        <v>125</v>
      </c>
      <c r="H679">
        <v>146750</v>
      </c>
      <c r="I679">
        <v>22012.5</v>
      </c>
      <c r="J679">
        <v>124737.5</v>
      </c>
      <c r="K679">
        <v>140880</v>
      </c>
      <c r="L679">
        <v>-16142.5</v>
      </c>
      <c r="M679">
        <v>41852</v>
      </c>
      <c r="N679">
        <v>8</v>
      </c>
      <c r="O679" t="s">
        <v>28</v>
      </c>
      <c r="P679" t="s">
        <v>15</v>
      </c>
    </row>
    <row r="680" spans="1:16" x14ac:dyDescent="0.35">
      <c r="A680" t="s">
        <v>9</v>
      </c>
      <c r="B680" t="s">
        <v>19</v>
      </c>
      <c r="C680" t="s">
        <v>38</v>
      </c>
      <c r="D680" t="s">
        <v>48</v>
      </c>
      <c r="E680">
        <v>2767</v>
      </c>
      <c r="F680">
        <v>3</v>
      </c>
      <c r="G680">
        <v>125</v>
      </c>
      <c r="H680">
        <v>345875</v>
      </c>
      <c r="I680">
        <v>51881.25</v>
      </c>
      <c r="J680">
        <v>293993.75</v>
      </c>
      <c r="K680">
        <v>332040</v>
      </c>
      <c r="L680">
        <v>-38046.25</v>
      </c>
      <c r="M680">
        <v>41852</v>
      </c>
      <c r="N680">
        <v>8</v>
      </c>
      <c r="O680" t="s">
        <v>28</v>
      </c>
      <c r="P680" t="s">
        <v>15</v>
      </c>
    </row>
    <row r="681" spans="1:16" x14ac:dyDescent="0.35">
      <c r="A681" t="s">
        <v>9</v>
      </c>
      <c r="B681" t="s">
        <v>19</v>
      </c>
      <c r="C681" t="s">
        <v>38</v>
      </c>
      <c r="D681" t="s">
        <v>48</v>
      </c>
      <c r="E681">
        <v>1085</v>
      </c>
      <c r="F681">
        <v>3</v>
      </c>
      <c r="G681">
        <v>125</v>
      </c>
      <c r="H681">
        <v>135625</v>
      </c>
      <c r="I681">
        <v>20343.75</v>
      </c>
      <c r="J681">
        <v>115281.25</v>
      </c>
      <c r="K681">
        <v>130200</v>
      </c>
      <c r="L681">
        <v>-14918.75</v>
      </c>
      <c r="M681">
        <v>41913</v>
      </c>
      <c r="N681">
        <v>10</v>
      </c>
      <c r="O681" t="s">
        <v>30</v>
      </c>
      <c r="P681" t="s">
        <v>15</v>
      </c>
    </row>
    <row r="682" spans="1:16" x14ac:dyDescent="0.35">
      <c r="A682" t="s">
        <v>7</v>
      </c>
      <c r="B682" t="s">
        <v>20</v>
      </c>
      <c r="C682" t="s">
        <v>39</v>
      </c>
      <c r="D682" t="s">
        <v>48</v>
      </c>
      <c r="E682">
        <v>546</v>
      </c>
      <c r="F682">
        <v>5</v>
      </c>
      <c r="G682">
        <v>300</v>
      </c>
      <c r="H682">
        <v>163800</v>
      </c>
      <c r="I682">
        <v>24570</v>
      </c>
      <c r="J682">
        <v>139230</v>
      </c>
      <c r="K682">
        <v>136500</v>
      </c>
      <c r="L682">
        <v>2730</v>
      </c>
      <c r="M682">
        <v>41913</v>
      </c>
      <c r="N682">
        <v>10</v>
      </c>
      <c r="O682" t="s">
        <v>30</v>
      </c>
      <c r="P682" t="s">
        <v>15</v>
      </c>
    </row>
    <row r="683" spans="1:16" x14ac:dyDescent="0.35">
      <c r="A683" t="s">
        <v>10</v>
      </c>
      <c r="B683" t="s">
        <v>19</v>
      </c>
      <c r="C683" t="s">
        <v>40</v>
      </c>
      <c r="D683" t="s">
        <v>48</v>
      </c>
      <c r="E683">
        <v>1158</v>
      </c>
      <c r="F683">
        <v>10</v>
      </c>
      <c r="G683">
        <v>20</v>
      </c>
      <c r="H683">
        <v>23160</v>
      </c>
      <c r="I683">
        <v>3474</v>
      </c>
      <c r="J683">
        <v>19686</v>
      </c>
      <c r="K683">
        <v>11580</v>
      </c>
      <c r="L683">
        <v>8106</v>
      </c>
      <c r="M683">
        <v>41699</v>
      </c>
      <c r="N683">
        <v>3</v>
      </c>
      <c r="O683" t="s">
        <v>23</v>
      </c>
      <c r="P683" t="s">
        <v>15</v>
      </c>
    </row>
    <row r="684" spans="1:16" x14ac:dyDescent="0.35">
      <c r="A684" t="s">
        <v>8</v>
      </c>
      <c r="B684" t="s">
        <v>16</v>
      </c>
      <c r="C684" t="s">
        <v>40</v>
      </c>
      <c r="D684" t="s">
        <v>48</v>
      </c>
      <c r="E684">
        <v>1614</v>
      </c>
      <c r="F684">
        <v>10</v>
      </c>
      <c r="G684">
        <v>15</v>
      </c>
      <c r="H684">
        <v>24210</v>
      </c>
      <c r="I684">
        <v>3631.5</v>
      </c>
      <c r="J684">
        <v>20578.5</v>
      </c>
      <c r="K684">
        <v>16140</v>
      </c>
      <c r="L684">
        <v>4438.5</v>
      </c>
      <c r="M684">
        <v>41730</v>
      </c>
      <c r="N684">
        <v>4</v>
      </c>
      <c r="O684" t="s">
        <v>24</v>
      </c>
      <c r="P684" t="s">
        <v>15</v>
      </c>
    </row>
    <row r="685" spans="1:16" x14ac:dyDescent="0.35">
      <c r="A685" t="s">
        <v>10</v>
      </c>
      <c r="B685" t="s">
        <v>20</v>
      </c>
      <c r="C685" t="s">
        <v>40</v>
      </c>
      <c r="D685" t="s">
        <v>48</v>
      </c>
      <c r="E685">
        <v>2535</v>
      </c>
      <c r="F685">
        <v>10</v>
      </c>
      <c r="G685">
        <v>7</v>
      </c>
      <c r="H685">
        <v>17745</v>
      </c>
      <c r="I685">
        <v>2661.75</v>
      </c>
      <c r="J685">
        <v>15083.25</v>
      </c>
      <c r="K685">
        <v>12675</v>
      </c>
      <c r="L685">
        <v>2408.25</v>
      </c>
      <c r="M685">
        <v>41730</v>
      </c>
      <c r="N685">
        <v>4</v>
      </c>
      <c r="O685" t="s">
        <v>24</v>
      </c>
      <c r="P685" t="s">
        <v>15</v>
      </c>
    </row>
    <row r="686" spans="1:16" x14ac:dyDescent="0.35">
      <c r="A686" t="s">
        <v>10</v>
      </c>
      <c r="B686" t="s">
        <v>20</v>
      </c>
      <c r="C686" t="s">
        <v>40</v>
      </c>
      <c r="D686" t="s">
        <v>48</v>
      </c>
      <c r="E686">
        <v>2851</v>
      </c>
      <c r="F686">
        <v>10</v>
      </c>
      <c r="G686">
        <v>350</v>
      </c>
      <c r="H686">
        <v>997850</v>
      </c>
      <c r="I686">
        <v>149677.5</v>
      </c>
      <c r="J686">
        <v>848172.5</v>
      </c>
      <c r="K686">
        <v>741260</v>
      </c>
      <c r="L686">
        <v>106912.5</v>
      </c>
      <c r="M686">
        <v>41760</v>
      </c>
      <c r="N686">
        <v>5</v>
      </c>
      <c r="O686" t="s">
        <v>25</v>
      </c>
      <c r="P686" t="s">
        <v>15</v>
      </c>
    </row>
    <row r="687" spans="1:16" x14ac:dyDescent="0.35">
      <c r="A687" t="s">
        <v>8</v>
      </c>
      <c r="B687" t="s">
        <v>16</v>
      </c>
      <c r="C687" t="s">
        <v>40</v>
      </c>
      <c r="D687" t="s">
        <v>48</v>
      </c>
      <c r="E687">
        <v>2559</v>
      </c>
      <c r="F687">
        <v>10</v>
      </c>
      <c r="G687">
        <v>15</v>
      </c>
      <c r="H687">
        <v>38385</v>
      </c>
      <c r="I687">
        <v>5757.75</v>
      </c>
      <c r="J687">
        <v>32627.25</v>
      </c>
      <c r="K687">
        <v>25590</v>
      </c>
      <c r="L687">
        <v>7037.25</v>
      </c>
      <c r="M687">
        <v>41852</v>
      </c>
      <c r="N687">
        <v>8</v>
      </c>
      <c r="O687" t="s">
        <v>28</v>
      </c>
      <c r="P687" t="s">
        <v>15</v>
      </c>
    </row>
    <row r="688" spans="1:16" x14ac:dyDescent="0.35">
      <c r="A688" t="s">
        <v>10</v>
      </c>
      <c r="B688" t="s">
        <v>17</v>
      </c>
      <c r="C688" t="s">
        <v>40</v>
      </c>
      <c r="D688" t="s">
        <v>48</v>
      </c>
      <c r="E688">
        <v>267</v>
      </c>
      <c r="F688">
        <v>10</v>
      </c>
      <c r="G688">
        <v>20</v>
      </c>
      <c r="H688">
        <v>5340</v>
      </c>
      <c r="I688">
        <v>801</v>
      </c>
      <c r="J688">
        <v>4539</v>
      </c>
      <c r="K688">
        <v>2670</v>
      </c>
      <c r="L688">
        <v>1869</v>
      </c>
      <c r="M688">
        <v>41548</v>
      </c>
      <c r="N688">
        <v>10</v>
      </c>
      <c r="O688" t="s">
        <v>30</v>
      </c>
      <c r="P688" t="s">
        <v>14</v>
      </c>
    </row>
    <row r="689" spans="1:16" x14ac:dyDescent="0.35">
      <c r="A689" t="s">
        <v>9</v>
      </c>
      <c r="B689" t="s">
        <v>19</v>
      </c>
      <c r="C689" t="s">
        <v>40</v>
      </c>
      <c r="D689" t="s">
        <v>48</v>
      </c>
      <c r="E689">
        <v>1085</v>
      </c>
      <c r="F689">
        <v>10</v>
      </c>
      <c r="G689">
        <v>125</v>
      </c>
      <c r="H689">
        <v>135625</v>
      </c>
      <c r="I689">
        <v>20343.75</v>
      </c>
      <c r="J689">
        <v>115281.25</v>
      </c>
      <c r="K689">
        <v>130200</v>
      </c>
      <c r="L689">
        <v>-14918.75</v>
      </c>
      <c r="M689">
        <v>41913</v>
      </c>
      <c r="N689">
        <v>10</v>
      </c>
      <c r="O689" t="s">
        <v>30</v>
      </c>
      <c r="P689" t="s">
        <v>15</v>
      </c>
    </row>
    <row r="690" spans="1:16" x14ac:dyDescent="0.35">
      <c r="A690" t="s">
        <v>8</v>
      </c>
      <c r="B690" t="s">
        <v>19</v>
      </c>
      <c r="C690" t="s">
        <v>40</v>
      </c>
      <c r="D690" t="s">
        <v>48</v>
      </c>
      <c r="E690">
        <v>1175</v>
      </c>
      <c r="F690">
        <v>10</v>
      </c>
      <c r="G690">
        <v>15</v>
      </c>
      <c r="H690">
        <v>17625</v>
      </c>
      <c r="I690">
        <v>2643.75</v>
      </c>
      <c r="J690">
        <v>14981.25</v>
      </c>
      <c r="K690">
        <v>11750</v>
      </c>
      <c r="L690">
        <v>3231.25</v>
      </c>
      <c r="M690">
        <v>41913</v>
      </c>
      <c r="N690">
        <v>10</v>
      </c>
      <c r="O690" t="s">
        <v>30</v>
      </c>
      <c r="P690" t="s">
        <v>15</v>
      </c>
    </row>
    <row r="691" spans="1:16" x14ac:dyDescent="0.35">
      <c r="A691" t="s">
        <v>10</v>
      </c>
      <c r="B691" t="s">
        <v>17</v>
      </c>
      <c r="C691" t="s">
        <v>40</v>
      </c>
      <c r="D691" t="s">
        <v>48</v>
      </c>
      <c r="E691">
        <v>2007</v>
      </c>
      <c r="F691">
        <v>10</v>
      </c>
      <c r="G691">
        <v>350</v>
      </c>
      <c r="H691">
        <v>702450</v>
      </c>
      <c r="I691">
        <v>105367.5</v>
      </c>
      <c r="J691">
        <v>597082.5</v>
      </c>
      <c r="K691">
        <v>521820</v>
      </c>
      <c r="L691">
        <v>75262.5</v>
      </c>
      <c r="M691">
        <v>41579</v>
      </c>
      <c r="N691">
        <v>11</v>
      </c>
      <c r="O691" t="s">
        <v>31</v>
      </c>
      <c r="P691" t="s">
        <v>14</v>
      </c>
    </row>
    <row r="692" spans="1:16" x14ac:dyDescent="0.35">
      <c r="A692" t="s">
        <v>10</v>
      </c>
      <c r="B692" t="s">
        <v>20</v>
      </c>
      <c r="C692" t="s">
        <v>40</v>
      </c>
      <c r="D692" t="s">
        <v>48</v>
      </c>
      <c r="E692">
        <v>2151</v>
      </c>
      <c r="F692">
        <v>10</v>
      </c>
      <c r="G692">
        <v>350</v>
      </c>
      <c r="H692">
        <v>752850</v>
      </c>
      <c r="I692">
        <v>112927.5</v>
      </c>
      <c r="J692">
        <v>639922.5</v>
      </c>
      <c r="K692">
        <v>559260</v>
      </c>
      <c r="L692">
        <v>80662.5</v>
      </c>
      <c r="M692">
        <v>41579</v>
      </c>
      <c r="N692">
        <v>11</v>
      </c>
      <c r="O692" t="s">
        <v>31</v>
      </c>
      <c r="P692" t="s">
        <v>14</v>
      </c>
    </row>
    <row r="693" spans="1:16" x14ac:dyDescent="0.35">
      <c r="A693" t="s">
        <v>11</v>
      </c>
      <c r="B693" t="s">
        <v>17</v>
      </c>
      <c r="C693" t="s">
        <v>40</v>
      </c>
      <c r="D693" t="s">
        <v>48</v>
      </c>
      <c r="E693">
        <v>914</v>
      </c>
      <c r="F693">
        <v>10</v>
      </c>
      <c r="G693">
        <v>12</v>
      </c>
      <c r="H693">
        <v>10968</v>
      </c>
      <c r="I693">
        <v>1645.2</v>
      </c>
      <c r="J693">
        <v>9322.7999999999993</v>
      </c>
      <c r="K693">
        <v>2742</v>
      </c>
      <c r="L693">
        <v>6580.7999999999993</v>
      </c>
      <c r="M693">
        <v>41974</v>
      </c>
      <c r="N693">
        <v>12</v>
      </c>
      <c r="O693" t="s">
        <v>32</v>
      </c>
      <c r="P693" t="s">
        <v>15</v>
      </c>
    </row>
    <row r="694" spans="1:16" x14ac:dyDescent="0.35">
      <c r="A694" t="s">
        <v>10</v>
      </c>
      <c r="B694" t="s">
        <v>18</v>
      </c>
      <c r="C694" t="s">
        <v>40</v>
      </c>
      <c r="D694" t="s">
        <v>48</v>
      </c>
      <c r="E694">
        <v>293</v>
      </c>
      <c r="F694">
        <v>10</v>
      </c>
      <c r="G694">
        <v>20</v>
      </c>
      <c r="H694">
        <v>5860</v>
      </c>
      <c r="I694">
        <v>879</v>
      </c>
      <c r="J694">
        <v>4981</v>
      </c>
      <c r="K694">
        <v>2930</v>
      </c>
      <c r="L694">
        <v>2051</v>
      </c>
      <c r="M694">
        <v>41974</v>
      </c>
      <c r="N694">
        <v>12</v>
      </c>
      <c r="O694" t="s">
        <v>32</v>
      </c>
      <c r="P694" t="s">
        <v>15</v>
      </c>
    </row>
    <row r="695" spans="1:16" x14ac:dyDescent="0.35">
      <c r="A695" t="s">
        <v>11</v>
      </c>
      <c r="B695" t="s">
        <v>20</v>
      </c>
      <c r="C695" t="s">
        <v>41</v>
      </c>
      <c r="D695" t="s">
        <v>48</v>
      </c>
      <c r="E695">
        <v>500</v>
      </c>
      <c r="F695">
        <v>120</v>
      </c>
      <c r="G695">
        <v>12</v>
      </c>
      <c r="H695">
        <v>6000</v>
      </c>
      <c r="I695">
        <v>900</v>
      </c>
      <c r="J695">
        <v>5100</v>
      </c>
      <c r="K695">
        <v>1500</v>
      </c>
      <c r="L695">
        <v>3600</v>
      </c>
      <c r="M695">
        <v>41699</v>
      </c>
      <c r="N695">
        <v>3</v>
      </c>
      <c r="O695" t="s">
        <v>23</v>
      </c>
      <c r="P695" t="s">
        <v>15</v>
      </c>
    </row>
    <row r="696" spans="1:16" x14ac:dyDescent="0.35">
      <c r="A696" t="s">
        <v>8</v>
      </c>
      <c r="B696" t="s">
        <v>18</v>
      </c>
      <c r="C696" t="s">
        <v>41</v>
      </c>
      <c r="D696" t="s">
        <v>48</v>
      </c>
      <c r="E696">
        <v>2826</v>
      </c>
      <c r="F696">
        <v>120</v>
      </c>
      <c r="G696">
        <v>15</v>
      </c>
      <c r="H696">
        <v>42390</v>
      </c>
      <c r="I696">
        <v>6358.5</v>
      </c>
      <c r="J696">
        <v>36031.5</v>
      </c>
      <c r="K696">
        <v>28260</v>
      </c>
      <c r="L696">
        <v>7771.5</v>
      </c>
      <c r="M696">
        <v>41760</v>
      </c>
      <c r="N696">
        <v>5</v>
      </c>
      <c r="O696" t="s">
        <v>25</v>
      </c>
      <c r="P696" t="s">
        <v>15</v>
      </c>
    </row>
    <row r="697" spans="1:16" x14ac:dyDescent="0.35">
      <c r="A697" t="s">
        <v>9</v>
      </c>
      <c r="B697" t="s">
        <v>18</v>
      </c>
      <c r="C697" t="s">
        <v>41</v>
      </c>
      <c r="D697" t="s">
        <v>48</v>
      </c>
      <c r="E697">
        <v>663</v>
      </c>
      <c r="F697">
        <v>120</v>
      </c>
      <c r="G697">
        <v>125</v>
      </c>
      <c r="H697">
        <v>82875</v>
      </c>
      <c r="I697">
        <v>12431.25</v>
      </c>
      <c r="J697">
        <v>70443.75</v>
      </c>
      <c r="K697">
        <v>79560</v>
      </c>
      <c r="L697">
        <v>-9116.25</v>
      </c>
      <c r="M697">
        <v>41883</v>
      </c>
      <c r="N697">
        <v>9</v>
      </c>
      <c r="O697" t="s">
        <v>29</v>
      </c>
      <c r="P697" t="s">
        <v>15</v>
      </c>
    </row>
    <row r="698" spans="1:16" x14ac:dyDescent="0.35">
      <c r="A698" t="s">
        <v>7</v>
      </c>
      <c r="B698" t="s">
        <v>17</v>
      </c>
      <c r="C698" t="s">
        <v>41</v>
      </c>
      <c r="D698" t="s">
        <v>48</v>
      </c>
      <c r="E698">
        <v>2574</v>
      </c>
      <c r="F698">
        <v>120</v>
      </c>
      <c r="G698">
        <v>300</v>
      </c>
      <c r="H698">
        <v>772200</v>
      </c>
      <c r="I698">
        <v>115830</v>
      </c>
      <c r="J698">
        <v>656370</v>
      </c>
      <c r="K698">
        <v>643500</v>
      </c>
      <c r="L698">
        <v>12870</v>
      </c>
      <c r="M698">
        <v>41579</v>
      </c>
      <c r="N698">
        <v>11</v>
      </c>
      <c r="O698" t="s">
        <v>31</v>
      </c>
      <c r="P698" t="s">
        <v>14</v>
      </c>
    </row>
    <row r="699" spans="1:16" x14ac:dyDescent="0.35">
      <c r="A699" t="s">
        <v>9</v>
      </c>
      <c r="B699" t="s">
        <v>17</v>
      </c>
      <c r="C699" t="s">
        <v>41</v>
      </c>
      <c r="D699" t="s">
        <v>48</v>
      </c>
      <c r="E699">
        <v>2438</v>
      </c>
      <c r="F699">
        <v>120</v>
      </c>
      <c r="G699">
        <v>125</v>
      </c>
      <c r="H699">
        <v>304750</v>
      </c>
      <c r="I699">
        <v>45712.5</v>
      </c>
      <c r="J699">
        <v>259037.5</v>
      </c>
      <c r="K699">
        <v>292560</v>
      </c>
      <c r="L699">
        <v>-33522.5</v>
      </c>
      <c r="M699">
        <v>41609</v>
      </c>
      <c r="N699">
        <v>12</v>
      </c>
      <c r="O699" t="s">
        <v>32</v>
      </c>
      <c r="P699" t="s">
        <v>14</v>
      </c>
    </row>
    <row r="700" spans="1:16" x14ac:dyDescent="0.35">
      <c r="A700" t="s">
        <v>11</v>
      </c>
      <c r="B700" t="s">
        <v>17</v>
      </c>
      <c r="C700" t="s">
        <v>41</v>
      </c>
      <c r="D700" t="s">
        <v>48</v>
      </c>
      <c r="E700">
        <v>914</v>
      </c>
      <c r="F700">
        <v>120</v>
      </c>
      <c r="G700">
        <v>12</v>
      </c>
      <c r="H700">
        <v>10968</v>
      </c>
      <c r="I700">
        <v>1645.2</v>
      </c>
      <c r="J700">
        <v>9322.7999999999993</v>
      </c>
      <c r="K700">
        <v>2742</v>
      </c>
      <c r="L700">
        <v>6580.7999999999993</v>
      </c>
      <c r="M700">
        <v>41974</v>
      </c>
      <c r="N700">
        <v>12</v>
      </c>
      <c r="O700" t="s">
        <v>32</v>
      </c>
      <c r="P700" t="s">
        <v>15</v>
      </c>
    </row>
    <row r="701" spans="1:16" x14ac:dyDescent="0.35">
      <c r="A701" t="s">
        <v>10</v>
      </c>
      <c r="B701" t="s">
        <v>16</v>
      </c>
      <c r="C701" t="s">
        <v>42</v>
      </c>
      <c r="D701" t="s">
        <v>48</v>
      </c>
      <c r="E701">
        <v>865.5</v>
      </c>
      <c r="F701">
        <v>250</v>
      </c>
      <c r="G701">
        <v>20</v>
      </c>
      <c r="H701">
        <v>17310</v>
      </c>
      <c r="I701">
        <v>2596.5</v>
      </c>
      <c r="J701">
        <v>14713.5</v>
      </c>
      <c r="K701">
        <v>8655</v>
      </c>
      <c r="L701">
        <v>6058.5</v>
      </c>
      <c r="M701">
        <v>41821</v>
      </c>
      <c r="N701">
        <v>7</v>
      </c>
      <c r="O701" t="s">
        <v>27</v>
      </c>
      <c r="P701" t="s">
        <v>15</v>
      </c>
    </row>
    <row r="702" spans="1:16" x14ac:dyDescent="0.35">
      <c r="A702" t="s">
        <v>8</v>
      </c>
      <c r="B702" t="s">
        <v>19</v>
      </c>
      <c r="C702" t="s">
        <v>42</v>
      </c>
      <c r="D702" t="s">
        <v>48</v>
      </c>
      <c r="E702">
        <v>492</v>
      </c>
      <c r="F702">
        <v>250</v>
      </c>
      <c r="G702">
        <v>15</v>
      </c>
      <c r="H702">
        <v>7380</v>
      </c>
      <c r="I702">
        <v>1107</v>
      </c>
      <c r="J702">
        <v>6273</v>
      </c>
      <c r="K702">
        <v>4920</v>
      </c>
      <c r="L702">
        <v>1353</v>
      </c>
      <c r="M702">
        <v>41821</v>
      </c>
      <c r="N702">
        <v>7</v>
      </c>
      <c r="O702" t="s">
        <v>27</v>
      </c>
      <c r="P702" t="s">
        <v>15</v>
      </c>
    </row>
    <row r="703" spans="1:16" x14ac:dyDescent="0.35">
      <c r="A703" t="s">
        <v>10</v>
      </c>
      <c r="B703" t="s">
        <v>17</v>
      </c>
      <c r="C703" t="s">
        <v>42</v>
      </c>
      <c r="D703" t="s">
        <v>48</v>
      </c>
      <c r="E703">
        <v>267</v>
      </c>
      <c r="F703">
        <v>250</v>
      </c>
      <c r="G703">
        <v>20</v>
      </c>
      <c r="H703">
        <v>5340</v>
      </c>
      <c r="I703">
        <v>801</v>
      </c>
      <c r="J703">
        <v>4539</v>
      </c>
      <c r="K703">
        <v>2670</v>
      </c>
      <c r="L703">
        <v>1869</v>
      </c>
      <c r="M703">
        <v>41548</v>
      </c>
      <c r="N703">
        <v>10</v>
      </c>
      <c r="O703" t="s">
        <v>30</v>
      </c>
      <c r="P703" t="s">
        <v>14</v>
      </c>
    </row>
    <row r="704" spans="1:16" x14ac:dyDescent="0.35">
      <c r="A704" t="s">
        <v>8</v>
      </c>
      <c r="B704" t="s">
        <v>19</v>
      </c>
      <c r="C704" t="s">
        <v>42</v>
      </c>
      <c r="D704" t="s">
        <v>48</v>
      </c>
      <c r="E704">
        <v>1175</v>
      </c>
      <c r="F704">
        <v>250</v>
      </c>
      <c r="G704">
        <v>15</v>
      </c>
      <c r="H704">
        <v>17625</v>
      </c>
      <c r="I704">
        <v>2643.75</v>
      </c>
      <c r="J704">
        <v>14981.25</v>
      </c>
      <c r="K704">
        <v>11750</v>
      </c>
      <c r="L704">
        <v>3231.25</v>
      </c>
      <c r="M704">
        <v>41913</v>
      </c>
      <c r="N704">
        <v>10</v>
      </c>
      <c r="O704" t="s">
        <v>30</v>
      </c>
      <c r="P704" t="s">
        <v>15</v>
      </c>
    </row>
    <row r="705" spans="1:16" x14ac:dyDescent="0.35">
      <c r="A705" t="s">
        <v>9</v>
      </c>
      <c r="B705" t="s">
        <v>16</v>
      </c>
      <c r="C705" t="s">
        <v>42</v>
      </c>
      <c r="D705" t="s">
        <v>48</v>
      </c>
      <c r="E705">
        <v>2954</v>
      </c>
      <c r="F705">
        <v>250</v>
      </c>
      <c r="G705">
        <v>125</v>
      </c>
      <c r="H705">
        <v>369250</v>
      </c>
      <c r="I705">
        <v>55387.5</v>
      </c>
      <c r="J705">
        <v>313862.5</v>
      </c>
      <c r="K705">
        <v>354480</v>
      </c>
      <c r="L705">
        <v>-40617.5</v>
      </c>
      <c r="M705">
        <v>41579</v>
      </c>
      <c r="N705">
        <v>11</v>
      </c>
      <c r="O705" t="s">
        <v>31</v>
      </c>
      <c r="P705" t="s">
        <v>14</v>
      </c>
    </row>
    <row r="706" spans="1:16" x14ac:dyDescent="0.35">
      <c r="A706" t="s">
        <v>9</v>
      </c>
      <c r="B706" t="s">
        <v>19</v>
      </c>
      <c r="C706" t="s">
        <v>42</v>
      </c>
      <c r="D706" t="s">
        <v>48</v>
      </c>
      <c r="E706">
        <v>552</v>
      </c>
      <c r="F706">
        <v>250</v>
      </c>
      <c r="G706">
        <v>125</v>
      </c>
      <c r="H706">
        <v>69000</v>
      </c>
      <c r="I706">
        <v>10350</v>
      </c>
      <c r="J706">
        <v>58650</v>
      </c>
      <c r="K706">
        <v>66240</v>
      </c>
      <c r="L706">
        <v>-7590</v>
      </c>
      <c r="M706">
        <v>41944</v>
      </c>
      <c r="N706">
        <v>11</v>
      </c>
      <c r="O706" t="s">
        <v>31</v>
      </c>
      <c r="P706" t="s">
        <v>15</v>
      </c>
    </row>
    <row r="707" spans="1:16" x14ac:dyDescent="0.35">
      <c r="A707" t="s">
        <v>10</v>
      </c>
      <c r="B707" t="s">
        <v>18</v>
      </c>
      <c r="C707" t="s">
        <v>42</v>
      </c>
      <c r="D707" t="s">
        <v>48</v>
      </c>
      <c r="E707">
        <v>293</v>
      </c>
      <c r="F707">
        <v>250</v>
      </c>
      <c r="G707">
        <v>20</v>
      </c>
      <c r="H707">
        <v>5860</v>
      </c>
      <c r="I707">
        <v>879</v>
      </c>
      <c r="J707">
        <v>4981</v>
      </c>
      <c r="K707">
        <v>2930</v>
      </c>
      <c r="L707">
        <v>2051</v>
      </c>
      <c r="M707">
        <v>41974</v>
      </c>
      <c r="N707">
        <v>12</v>
      </c>
      <c r="O707" t="s">
        <v>32</v>
      </c>
      <c r="P707" t="s">
        <v>15</v>
      </c>
    </row>
    <row r="708" spans="1:16" x14ac:dyDescent="0.35">
      <c r="A708" t="s">
        <v>7</v>
      </c>
      <c r="B708" t="s">
        <v>18</v>
      </c>
      <c r="C708" t="s">
        <v>43</v>
      </c>
      <c r="D708" t="s">
        <v>48</v>
      </c>
      <c r="E708">
        <v>2475</v>
      </c>
      <c r="F708">
        <v>260</v>
      </c>
      <c r="G708">
        <v>300</v>
      </c>
      <c r="H708">
        <v>742500</v>
      </c>
      <c r="I708">
        <v>111375</v>
      </c>
      <c r="J708">
        <v>631125</v>
      </c>
      <c r="K708">
        <v>618750</v>
      </c>
      <c r="L708">
        <v>12375</v>
      </c>
      <c r="M708">
        <v>41699</v>
      </c>
      <c r="N708">
        <v>3</v>
      </c>
      <c r="O708" t="s">
        <v>23</v>
      </c>
      <c r="P708" t="s">
        <v>15</v>
      </c>
    </row>
    <row r="709" spans="1:16" x14ac:dyDescent="0.35">
      <c r="A709" t="s">
        <v>7</v>
      </c>
      <c r="B709" t="s">
        <v>20</v>
      </c>
      <c r="C709" t="s">
        <v>43</v>
      </c>
      <c r="D709" t="s">
        <v>48</v>
      </c>
      <c r="E709">
        <v>546</v>
      </c>
      <c r="F709">
        <v>260</v>
      </c>
      <c r="G709">
        <v>300</v>
      </c>
      <c r="H709">
        <v>163800</v>
      </c>
      <c r="I709">
        <v>24570</v>
      </c>
      <c r="J709">
        <v>139230</v>
      </c>
      <c r="K709">
        <v>136500</v>
      </c>
      <c r="L709">
        <v>2730</v>
      </c>
      <c r="M709">
        <v>41913</v>
      </c>
      <c r="N709">
        <v>10</v>
      </c>
      <c r="O709" t="s">
        <v>30</v>
      </c>
      <c r="P709" t="s">
        <v>15</v>
      </c>
    </row>
    <row r="710" spans="1:16" x14ac:dyDescent="0.35">
      <c r="A710" t="s">
        <v>10</v>
      </c>
      <c r="B710" t="s">
        <v>20</v>
      </c>
      <c r="C710" t="s">
        <v>39</v>
      </c>
      <c r="D710" t="s">
        <v>48</v>
      </c>
      <c r="E710">
        <v>1368</v>
      </c>
      <c r="F710">
        <v>5</v>
      </c>
      <c r="G710">
        <v>7</v>
      </c>
      <c r="H710">
        <v>9576</v>
      </c>
      <c r="I710">
        <v>1436.4</v>
      </c>
      <c r="J710">
        <v>8139.6</v>
      </c>
      <c r="K710">
        <v>6840</v>
      </c>
      <c r="L710">
        <v>1299.6000000000004</v>
      </c>
      <c r="M710">
        <v>41671</v>
      </c>
      <c r="N710">
        <v>2</v>
      </c>
      <c r="O710" t="s">
        <v>22</v>
      </c>
      <c r="P710" t="s">
        <v>15</v>
      </c>
    </row>
    <row r="711" spans="1:16" x14ac:dyDescent="0.35">
      <c r="A711" t="s">
        <v>10</v>
      </c>
      <c r="B711" t="s">
        <v>16</v>
      </c>
      <c r="C711" t="s">
        <v>40</v>
      </c>
      <c r="D711" t="s">
        <v>48</v>
      </c>
      <c r="E711">
        <v>723</v>
      </c>
      <c r="F711">
        <v>10</v>
      </c>
      <c r="G711">
        <v>7</v>
      </c>
      <c r="H711">
        <v>5061</v>
      </c>
      <c r="I711">
        <v>759.15000000000009</v>
      </c>
      <c r="J711">
        <v>4301.8500000000004</v>
      </c>
      <c r="K711">
        <v>3615</v>
      </c>
      <c r="L711">
        <v>686.85000000000014</v>
      </c>
      <c r="M711">
        <v>41730</v>
      </c>
      <c r="N711">
        <v>4</v>
      </c>
      <c r="O711" t="s">
        <v>24</v>
      </c>
      <c r="P711" t="s">
        <v>15</v>
      </c>
    </row>
    <row r="712" spans="1:16" x14ac:dyDescent="0.35">
      <c r="A712" t="s">
        <v>11</v>
      </c>
      <c r="B712" t="s">
        <v>17</v>
      </c>
      <c r="C712" t="s">
        <v>42</v>
      </c>
      <c r="D712" t="s">
        <v>48</v>
      </c>
      <c r="E712">
        <v>1806</v>
      </c>
      <c r="F712">
        <v>250</v>
      </c>
      <c r="G712">
        <v>12</v>
      </c>
      <c r="H712">
        <v>21672</v>
      </c>
      <c r="I712">
        <v>3250.8</v>
      </c>
      <c r="J712">
        <v>18421.2</v>
      </c>
      <c r="K712">
        <v>5418</v>
      </c>
      <c r="L712">
        <v>13003.2</v>
      </c>
      <c r="M712">
        <v>41760</v>
      </c>
      <c r="N712">
        <v>5</v>
      </c>
      <c r="O712" t="s">
        <v>25</v>
      </c>
      <c r="P712" t="s">
        <v>15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AEDE-A49D-4E14-AC91-B430C5692845}">
  <dimension ref="A3:D20"/>
  <sheetViews>
    <sheetView topLeftCell="C1" workbookViewId="0">
      <selection activeCell="Y4" sqref="Y4"/>
    </sheetView>
  </sheetViews>
  <sheetFormatPr defaultRowHeight="14.5" x14ac:dyDescent="0.35"/>
  <cols>
    <col min="1" max="1" width="12.90625" bestFit="1" customWidth="1"/>
    <col min="2" max="2" width="7.08984375" bestFit="1" customWidth="1"/>
    <col min="3" max="3" width="13.26953125" bestFit="1" customWidth="1"/>
    <col min="4" max="4" width="12.1796875" bestFit="1" customWidth="1"/>
  </cols>
  <sheetData>
    <row r="3" spans="1:4" x14ac:dyDescent="0.35">
      <c r="A3" s="11" t="s">
        <v>79</v>
      </c>
      <c r="B3" s="11" t="s">
        <v>12</v>
      </c>
      <c r="C3" t="s">
        <v>65</v>
      </c>
      <c r="D3" t="s">
        <v>80</v>
      </c>
    </row>
    <row r="4" spans="1:4" x14ac:dyDescent="0.35">
      <c r="A4" t="s">
        <v>14</v>
      </c>
      <c r="B4" s="10" t="s">
        <v>68</v>
      </c>
      <c r="C4" s="17">
        <v>5225906.0300000012</v>
      </c>
      <c r="D4" s="17">
        <v>881009.03000000014</v>
      </c>
    </row>
    <row r="5" spans="1:4" x14ac:dyDescent="0.35">
      <c r="B5" s="10" t="s">
        <v>69</v>
      </c>
      <c r="C5" s="17">
        <v>9295611.0999999959</v>
      </c>
      <c r="D5" s="17">
        <v>1657795.0999999999</v>
      </c>
    </row>
    <row r="6" spans="1:4" x14ac:dyDescent="0.35">
      <c r="B6" s="10" t="s">
        <v>70</v>
      </c>
      <c r="C6" s="17">
        <v>7267203.2999999998</v>
      </c>
      <c r="D6" s="17">
        <v>765502.3</v>
      </c>
    </row>
    <row r="7" spans="1:4" x14ac:dyDescent="0.35">
      <c r="B7" s="10" t="s">
        <v>71</v>
      </c>
      <c r="C7" s="17">
        <v>5368441.08</v>
      </c>
      <c r="D7" s="17">
        <v>691564.08000000007</v>
      </c>
    </row>
    <row r="8" spans="1:4" x14ac:dyDescent="0.35">
      <c r="A8" t="s">
        <v>15</v>
      </c>
      <c r="B8" s="10" t="s">
        <v>72</v>
      </c>
      <c r="C8" s="17">
        <v>6607761.6800000006</v>
      </c>
      <c r="D8" s="17">
        <v>814028.67999999993</v>
      </c>
    </row>
    <row r="9" spans="1:4" x14ac:dyDescent="0.35">
      <c r="B9" s="10" t="s">
        <v>73</v>
      </c>
      <c r="C9" s="17">
        <v>7297531.3900000006</v>
      </c>
      <c r="D9" s="17">
        <v>1148547.3899999999</v>
      </c>
    </row>
    <row r="10" spans="1:4" x14ac:dyDescent="0.35">
      <c r="B10" s="10" t="s">
        <v>74</v>
      </c>
      <c r="C10" s="17">
        <v>6006124.8699999992</v>
      </c>
      <c r="D10" s="17">
        <v>774531.87000000011</v>
      </c>
    </row>
    <row r="11" spans="1:4" x14ac:dyDescent="0.35">
      <c r="B11" s="10" t="s">
        <v>75</v>
      </c>
      <c r="C11" s="17">
        <v>6988211.0700000003</v>
      </c>
      <c r="D11" s="17">
        <v>947561.57</v>
      </c>
    </row>
    <row r="12" spans="1:4" x14ac:dyDescent="0.35">
      <c r="B12" s="10" t="s">
        <v>25</v>
      </c>
      <c r="C12" s="17">
        <v>6210211.0600000005</v>
      </c>
      <c r="D12" s="17">
        <v>828640.06</v>
      </c>
    </row>
    <row r="13" spans="1:4" x14ac:dyDescent="0.35">
      <c r="B13" s="10" t="s">
        <v>76</v>
      </c>
      <c r="C13" s="17">
        <v>9518893.8199999966</v>
      </c>
      <c r="D13" s="17">
        <v>1473753.8200000003</v>
      </c>
    </row>
    <row r="14" spans="1:4" x14ac:dyDescent="0.35">
      <c r="B14" s="10" t="s">
        <v>77</v>
      </c>
      <c r="C14" s="17">
        <v>8102920.1800000016</v>
      </c>
      <c r="D14" s="17">
        <v>923865.67999999982</v>
      </c>
    </row>
    <row r="15" spans="1:4" x14ac:dyDescent="0.35">
      <c r="B15" s="10" t="s">
        <v>78</v>
      </c>
      <c r="C15" s="17">
        <v>5864622.4199999999</v>
      </c>
      <c r="D15" s="17">
        <v>791066.41999999993</v>
      </c>
    </row>
    <row r="16" spans="1:4" x14ac:dyDescent="0.35">
      <c r="B16" s="10" t="s">
        <v>68</v>
      </c>
      <c r="C16" s="17">
        <v>6398697.2400000002</v>
      </c>
      <c r="D16" s="17">
        <v>1023132.24</v>
      </c>
    </row>
    <row r="17" spans="1:4" x14ac:dyDescent="0.35">
      <c r="B17" s="10" t="s">
        <v>69</v>
      </c>
      <c r="C17" s="17">
        <v>12375819.919999994</v>
      </c>
      <c r="D17" s="17">
        <v>1781985.9200000004</v>
      </c>
    </row>
    <row r="18" spans="1:4" x14ac:dyDescent="0.35">
      <c r="B18" s="10" t="s">
        <v>70</v>
      </c>
      <c r="C18" s="17">
        <v>5384214.2000000002</v>
      </c>
      <c r="D18" s="17">
        <v>604600.19999999995</v>
      </c>
    </row>
    <row r="19" spans="1:4" x14ac:dyDescent="0.35">
      <c r="B19" s="10" t="s">
        <v>71</v>
      </c>
      <c r="C19" s="17">
        <v>12008012.900000002</v>
      </c>
      <c r="D19" s="17">
        <v>2028840.9000000008</v>
      </c>
    </row>
    <row r="20" spans="1:4" x14ac:dyDescent="0.35">
      <c r="A20" t="s">
        <v>67</v>
      </c>
      <c r="C20" s="17">
        <v>119920182.26000001</v>
      </c>
      <c r="D20" s="17">
        <v>17136425.260000002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7F60-26A1-445A-A29E-81376584615E}">
  <dimension ref="A3:B9"/>
  <sheetViews>
    <sheetView workbookViewId="0">
      <selection activeCell="G20" sqref="G20"/>
    </sheetView>
  </sheetViews>
  <sheetFormatPr defaultRowHeight="14.5" x14ac:dyDescent="0.35"/>
  <cols>
    <col min="1" max="1" width="15.1796875" bestFit="1" customWidth="1"/>
    <col min="2" max="3" width="12.1796875" bestFit="1" customWidth="1"/>
  </cols>
  <sheetData>
    <row r="3" spans="1:2" x14ac:dyDescent="0.35">
      <c r="A3" s="11" t="s">
        <v>66</v>
      </c>
      <c r="B3" t="s">
        <v>80</v>
      </c>
    </row>
    <row r="4" spans="1:2" x14ac:dyDescent="0.35">
      <c r="A4" s="12" t="s">
        <v>10</v>
      </c>
      <c r="B4" s="17">
        <v>11492838.169999985</v>
      </c>
    </row>
    <row r="5" spans="1:2" x14ac:dyDescent="0.35">
      <c r="A5" s="12" t="s">
        <v>7</v>
      </c>
      <c r="B5" s="17">
        <v>4260574.5</v>
      </c>
    </row>
    <row r="6" spans="1:2" x14ac:dyDescent="0.35">
      <c r="A6" s="12" t="s">
        <v>11</v>
      </c>
      <c r="B6" s="17">
        <v>1334380.1399999999</v>
      </c>
    </row>
    <row r="7" spans="1:2" x14ac:dyDescent="0.35">
      <c r="A7" s="12" t="s">
        <v>8</v>
      </c>
      <c r="B7" s="17">
        <v>663178.07499999995</v>
      </c>
    </row>
    <row r="8" spans="1:2" x14ac:dyDescent="0.35">
      <c r="A8" s="12" t="s">
        <v>9</v>
      </c>
      <c r="B8" s="17">
        <v>-614545.625</v>
      </c>
    </row>
    <row r="9" spans="1:2" x14ac:dyDescent="0.35">
      <c r="A9" s="12" t="s">
        <v>67</v>
      </c>
      <c r="B9" s="17">
        <v>17136425.259999983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2B038-0C27-49B8-8532-038D504E9B09}">
  <dimension ref="A3:B10"/>
  <sheetViews>
    <sheetView workbookViewId="0">
      <selection activeCell="L10" sqref="L10"/>
    </sheetView>
  </sheetViews>
  <sheetFormatPr defaultRowHeight="14.5" x14ac:dyDescent="0.35"/>
  <cols>
    <col min="1" max="1" width="12.36328125" bestFit="1" customWidth="1"/>
    <col min="2" max="2" width="15.54296875" bestFit="1" customWidth="1"/>
  </cols>
  <sheetData>
    <row r="3" spans="1:2" x14ac:dyDescent="0.35">
      <c r="A3" s="11" t="s">
        <v>66</v>
      </c>
      <c r="B3" t="s">
        <v>81</v>
      </c>
    </row>
    <row r="4" spans="1:2" x14ac:dyDescent="0.35">
      <c r="A4" s="12" t="s">
        <v>38</v>
      </c>
      <c r="B4" s="13">
        <v>148056</v>
      </c>
    </row>
    <row r="5" spans="1:2" x14ac:dyDescent="0.35">
      <c r="A5" s="12" t="s">
        <v>39</v>
      </c>
      <c r="B5" s="13">
        <v>156696</v>
      </c>
    </row>
    <row r="6" spans="1:2" x14ac:dyDescent="0.35">
      <c r="A6" s="12" t="s">
        <v>43</v>
      </c>
      <c r="B6" s="13">
        <v>157883</v>
      </c>
    </row>
    <row r="7" spans="1:2" x14ac:dyDescent="0.35">
      <c r="A7" s="12" t="s">
        <v>41</v>
      </c>
      <c r="B7" s="13">
        <v>162424.5</v>
      </c>
    </row>
    <row r="8" spans="1:2" x14ac:dyDescent="0.35">
      <c r="A8" s="12" t="s">
        <v>42</v>
      </c>
      <c r="B8" s="13">
        <v>168783</v>
      </c>
    </row>
    <row r="9" spans="1:2" x14ac:dyDescent="0.35">
      <c r="A9" s="12" t="s">
        <v>40</v>
      </c>
      <c r="B9" s="13">
        <v>338239.5</v>
      </c>
    </row>
    <row r="10" spans="1:2" x14ac:dyDescent="0.35">
      <c r="A10" s="12" t="s">
        <v>67</v>
      </c>
      <c r="B10" s="13">
        <v>1132082</v>
      </c>
    </row>
  </sheetData>
  <pageMargins left="0.7" right="0.7" top="0.75" bottom="0.75" header="0.3" footer="0.3"/>
  <pageSetup orientation="portrait" horizontalDpi="360" verticalDpi="36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DCB0-2947-4F60-B829-000DC870404E}">
  <dimension ref="A3:B9"/>
  <sheetViews>
    <sheetView workbookViewId="0">
      <selection activeCell="D20" sqref="D20"/>
    </sheetView>
  </sheetViews>
  <sheetFormatPr defaultRowHeight="14.5" x14ac:dyDescent="0.35"/>
  <cols>
    <col min="1" max="1" width="12.36328125" bestFit="1" customWidth="1"/>
    <col min="2" max="2" width="12.1796875" bestFit="1" customWidth="1"/>
  </cols>
  <sheetData>
    <row r="3" spans="1:2" x14ac:dyDescent="0.35">
      <c r="A3" s="11" t="s">
        <v>66</v>
      </c>
      <c r="B3" t="s">
        <v>80</v>
      </c>
    </row>
    <row r="4" spans="1:2" x14ac:dyDescent="0.35">
      <c r="A4" s="12" t="s">
        <v>20</v>
      </c>
      <c r="B4" s="18">
        <v>3012188.1100000003</v>
      </c>
    </row>
    <row r="5" spans="1:2" x14ac:dyDescent="0.35">
      <c r="A5" s="12" t="s">
        <v>92</v>
      </c>
      <c r="B5" s="18">
        <v>3133598.6649999991</v>
      </c>
    </row>
    <row r="6" spans="1:2" x14ac:dyDescent="0.35">
      <c r="A6" s="12" t="s">
        <v>16</v>
      </c>
      <c r="B6" s="18">
        <v>3529228.8850000002</v>
      </c>
    </row>
    <row r="7" spans="1:2" x14ac:dyDescent="0.35">
      <c r="A7" s="12" t="s">
        <v>19</v>
      </c>
      <c r="B7" s="18">
        <v>3680388.8200000008</v>
      </c>
    </row>
    <row r="8" spans="1:2" x14ac:dyDescent="0.35">
      <c r="A8" s="12" t="s">
        <v>18</v>
      </c>
      <c r="B8" s="18">
        <v>3781020.7800000007</v>
      </c>
    </row>
    <row r="9" spans="1:2" x14ac:dyDescent="0.35">
      <c r="A9" s="12" t="s">
        <v>67</v>
      </c>
      <c r="B9" s="18">
        <v>17136425.260000002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4C7AF-66D6-40B1-86BE-0EBF079B9044}">
  <dimension ref="A3:C10"/>
  <sheetViews>
    <sheetView topLeftCell="A2" workbookViewId="0">
      <selection activeCell="J21" sqref="J21"/>
    </sheetView>
  </sheetViews>
  <sheetFormatPr defaultRowHeight="14.5" x14ac:dyDescent="0.35"/>
  <cols>
    <col min="1" max="1" width="12.36328125" bestFit="1" customWidth="1"/>
    <col min="2" max="2" width="11.7265625" bestFit="1" customWidth="1"/>
    <col min="3" max="3" width="11.81640625" bestFit="1" customWidth="1"/>
  </cols>
  <sheetData>
    <row r="3" spans="1:3" x14ac:dyDescent="0.35">
      <c r="A3" s="11" t="s">
        <v>66</v>
      </c>
      <c r="B3" t="s">
        <v>84</v>
      </c>
      <c r="C3" t="s">
        <v>80</v>
      </c>
    </row>
    <row r="4" spans="1:3" x14ac:dyDescent="0.35">
      <c r="A4" s="12" t="s">
        <v>41</v>
      </c>
      <c r="B4" s="13">
        <v>5200546</v>
      </c>
      <c r="C4" s="13">
        <v>1079709.31</v>
      </c>
    </row>
    <row r="5" spans="1:3" x14ac:dyDescent="0.35">
      <c r="A5" s="12" t="s">
        <v>42</v>
      </c>
      <c r="B5" s="13">
        <v>3822385</v>
      </c>
      <c r="C5" s="13">
        <v>771803.75</v>
      </c>
    </row>
    <row r="6" spans="1:3" x14ac:dyDescent="0.35">
      <c r="A6" s="12" t="s">
        <v>38</v>
      </c>
      <c r="B6" s="13">
        <v>2947228</v>
      </c>
      <c r="C6" s="13">
        <v>315991.71999999997</v>
      </c>
    </row>
    <row r="7" spans="1:3" x14ac:dyDescent="0.35">
      <c r="A7" s="12" t="s">
        <v>43</v>
      </c>
      <c r="B7" s="13">
        <v>2464292</v>
      </c>
      <c r="C7" s="13">
        <v>682620.89</v>
      </c>
    </row>
    <row r="8" spans="1:3" x14ac:dyDescent="0.35">
      <c r="A8" s="12" t="s">
        <v>40</v>
      </c>
      <c r="B8" s="13">
        <v>2292029</v>
      </c>
      <c r="C8" s="13">
        <v>323605.99000000005</v>
      </c>
    </row>
    <row r="9" spans="1:3" x14ac:dyDescent="0.35">
      <c r="A9" s="12" t="s">
        <v>39</v>
      </c>
      <c r="B9" s="13">
        <v>1505170</v>
      </c>
      <c r="C9" s="13">
        <v>266049.36000000004</v>
      </c>
    </row>
    <row r="10" spans="1:3" x14ac:dyDescent="0.35">
      <c r="A10" s="12" t="s">
        <v>67</v>
      </c>
      <c r="B10" s="14">
        <v>18231650</v>
      </c>
      <c r="C10" s="14">
        <v>3439781.02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BDFE-46E2-4423-B91D-3F54092E47F2}">
  <dimension ref="A3:D10"/>
  <sheetViews>
    <sheetView topLeftCell="I10" zoomScale="88" zoomScaleNormal="88" workbookViewId="0">
      <selection activeCell="X11" sqref="X11"/>
    </sheetView>
  </sheetViews>
  <sheetFormatPr defaultRowHeight="14.5" x14ac:dyDescent="0.35"/>
  <cols>
    <col min="1" max="1" width="12.7265625" bestFit="1" customWidth="1"/>
    <col min="2" max="3" width="13.6328125" bestFit="1" customWidth="1"/>
    <col min="4" max="4" width="12.453125" bestFit="1" customWidth="1"/>
  </cols>
  <sheetData>
    <row r="3" spans="1:4" x14ac:dyDescent="0.35">
      <c r="A3" s="11" t="s">
        <v>66</v>
      </c>
      <c r="B3" t="s">
        <v>86</v>
      </c>
      <c r="C3" t="s">
        <v>87</v>
      </c>
      <c r="D3" t="s">
        <v>88</v>
      </c>
    </row>
    <row r="4" spans="1:4" x14ac:dyDescent="0.35">
      <c r="A4" s="12" t="s">
        <v>40</v>
      </c>
      <c r="B4" s="18">
        <v>33011143.95000001</v>
      </c>
      <c r="C4" s="18">
        <v>28213706</v>
      </c>
      <c r="D4" s="18">
        <v>4797437.9499999993</v>
      </c>
    </row>
    <row r="5" spans="1:4" x14ac:dyDescent="0.35">
      <c r="A5" s="12" t="s">
        <v>42</v>
      </c>
      <c r="B5" s="18">
        <v>20511921.02</v>
      </c>
      <c r="C5" s="18">
        <v>17477313</v>
      </c>
      <c r="D5" s="18">
        <v>3034608.0200000005</v>
      </c>
    </row>
    <row r="6" spans="1:4" x14ac:dyDescent="0.35">
      <c r="A6" s="12" t="s">
        <v>41</v>
      </c>
      <c r="B6" s="18">
        <v>18250059.465</v>
      </c>
      <c r="C6" s="18">
        <v>15944067</v>
      </c>
      <c r="D6" s="18">
        <v>2305992.4649999999</v>
      </c>
    </row>
    <row r="7" spans="1:4" x14ac:dyDescent="0.35">
      <c r="A7" s="12" t="s">
        <v>43</v>
      </c>
      <c r="B7" s="18">
        <v>17779777.059999999</v>
      </c>
      <c r="C7" s="18">
        <v>14945021</v>
      </c>
      <c r="D7" s="18">
        <v>2834756.06</v>
      </c>
    </row>
    <row r="8" spans="1:4" x14ac:dyDescent="0.35">
      <c r="A8" s="12" t="s">
        <v>39</v>
      </c>
      <c r="B8" s="18">
        <v>16132707.879999999</v>
      </c>
      <c r="C8" s="18">
        <v>13900547</v>
      </c>
      <c r="D8" s="18">
        <v>2232160.88</v>
      </c>
    </row>
    <row r="9" spans="1:4" x14ac:dyDescent="0.35">
      <c r="A9" s="12" t="s">
        <v>38</v>
      </c>
      <c r="B9" s="18">
        <v>14234572.885000004</v>
      </c>
      <c r="C9" s="18">
        <v>12303103</v>
      </c>
      <c r="D9" s="18">
        <v>1931469.8849999998</v>
      </c>
    </row>
    <row r="10" spans="1:4" x14ac:dyDescent="0.35">
      <c r="A10" s="12" t="s">
        <v>67</v>
      </c>
      <c r="B10" s="18">
        <v>119920182.26000001</v>
      </c>
      <c r="C10" s="18">
        <v>102783757</v>
      </c>
      <c r="D10" s="18">
        <v>17136425.259999998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4ED0-36AE-4D2B-95D9-7CE325F67621}">
  <dimension ref="A3:B8"/>
  <sheetViews>
    <sheetView workbookViewId="0">
      <selection activeCell="B4" sqref="B4:B8"/>
    </sheetView>
  </sheetViews>
  <sheetFormatPr defaultRowHeight="14.5" x14ac:dyDescent="0.35"/>
  <cols>
    <col min="1" max="1" width="12.36328125" bestFit="1" customWidth="1"/>
    <col min="2" max="2" width="12.1796875" bestFit="1" customWidth="1"/>
  </cols>
  <sheetData>
    <row r="3" spans="1:2" x14ac:dyDescent="0.35">
      <c r="A3" s="11" t="s">
        <v>66</v>
      </c>
      <c r="B3" t="s">
        <v>80</v>
      </c>
    </row>
    <row r="4" spans="1:2" x14ac:dyDescent="0.35">
      <c r="A4" s="12" t="s">
        <v>46</v>
      </c>
      <c r="B4" s="18">
        <v>6410928.700000002</v>
      </c>
    </row>
    <row r="5" spans="1:2" x14ac:dyDescent="0.35">
      <c r="A5" s="12" t="s">
        <v>47</v>
      </c>
      <c r="B5" s="18">
        <v>5579522.8349999972</v>
      </c>
    </row>
    <row r="6" spans="1:2" x14ac:dyDescent="0.35">
      <c r="A6" s="12" t="s">
        <v>48</v>
      </c>
      <c r="B6" s="18">
        <v>3388866.7250000001</v>
      </c>
    </row>
    <row r="7" spans="1:2" x14ac:dyDescent="0.35">
      <c r="A7" s="12" t="s">
        <v>45</v>
      </c>
      <c r="B7" s="18">
        <v>1757107</v>
      </c>
    </row>
    <row r="8" spans="1:2" x14ac:dyDescent="0.35">
      <c r="A8" s="12" t="s">
        <v>67</v>
      </c>
      <c r="B8" s="18">
        <v>17136425.259999998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70254-8FA2-422D-80E6-5CF4D45CA017}">
  <dimension ref="A3:C10"/>
  <sheetViews>
    <sheetView workbookViewId="0">
      <selection activeCell="C3" sqref="C3"/>
    </sheetView>
  </sheetViews>
  <sheetFormatPr defaultRowHeight="14.5" x14ac:dyDescent="0.35"/>
  <cols>
    <col min="1" max="1" width="12.36328125" bestFit="1" customWidth="1"/>
    <col min="2" max="2" width="10.1796875" bestFit="1" customWidth="1"/>
    <col min="3" max="3" width="11.1796875" bestFit="1" customWidth="1"/>
  </cols>
  <sheetData>
    <row r="3" spans="1:3" x14ac:dyDescent="0.35">
      <c r="A3" s="11" t="s">
        <v>66</v>
      </c>
      <c r="B3" t="s">
        <v>89</v>
      </c>
      <c r="C3" t="s">
        <v>88</v>
      </c>
    </row>
    <row r="4" spans="1:3" x14ac:dyDescent="0.35">
      <c r="A4" s="12" t="s">
        <v>40</v>
      </c>
      <c r="B4" s="13">
        <v>2600518.0500000003</v>
      </c>
      <c r="C4" s="13">
        <v>4797437.9499999993</v>
      </c>
    </row>
    <row r="5" spans="1:3" x14ac:dyDescent="0.35">
      <c r="A5" s="12" t="s">
        <v>41</v>
      </c>
      <c r="B5" s="13">
        <v>1576709.0350000004</v>
      </c>
      <c r="C5" s="13">
        <v>2305992.4649999999</v>
      </c>
    </row>
    <row r="6" spans="1:3" x14ac:dyDescent="0.35">
      <c r="A6" s="12" t="s">
        <v>42</v>
      </c>
      <c r="B6" s="13">
        <v>1456612.4799999995</v>
      </c>
      <c r="C6" s="13">
        <v>3034608.0200000005</v>
      </c>
    </row>
    <row r="7" spans="1:3" x14ac:dyDescent="0.35">
      <c r="A7" s="12" t="s">
        <v>43</v>
      </c>
      <c r="B7" s="13">
        <v>1290163.4400000002</v>
      </c>
      <c r="C7" s="13">
        <v>2834756.06</v>
      </c>
    </row>
    <row r="8" spans="1:3" x14ac:dyDescent="0.35">
      <c r="A8" s="12" t="s">
        <v>39</v>
      </c>
      <c r="B8" s="13">
        <v>1166526.6200000001</v>
      </c>
      <c r="C8" s="13">
        <v>2232160.88</v>
      </c>
    </row>
    <row r="9" spans="1:3" x14ac:dyDescent="0.35">
      <c r="A9" s="12" t="s">
        <v>38</v>
      </c>
      <c r="B9" s="13">
        <v>1126447.615</v>
      </c>
      <c r="C9" s="13">
        <v>1931469.8849999998</v>
      </c>
    </row>
    <row r="10" spans="1:3" x14ac:dyDescent="0.35">
      <c r="A10" s="12" t="s">
        <v>67</v>
      </c>
      <c r="B10" s="13">
        <v>9216977.2400000002</v>
      </c>
      <c r="C10" s="13">
        <v>17136425.259999998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B6A5-B638-4D7E-A9D6-04365F7117D0}">
  <dimension ref="A3:C10"/>
  <sheetViews>
    <sheetView workbookViewId="0"/>
  </sheetViews>
  <sheetFormatPr defaultRowHeight="14.5" x14ac:dyDescent="0.35"/>
  <cols>
    <col min="1" max="1" width="12.36328125" bestFit="1" customWidth="1"/>
    <col min="2" max="2" width="10.1796875" bestFit="1" customWidth="1"/>
    <col min="3" max="3" width="12.1796875" bestFit="1" customWidth="1"/>
    <col min="4" max="4" width="11.1796875" bestFit="1" customWidth="1"/>
  </cols>
  <sheetData>
    <row r="3" spans="1:3" x14ac:dyDescent="0.35">
      <c r="A3" s="11" t="s">
        <v>66</v>
      </c>
      <c r="B3" t="s">
        <v>89</v>
      </c>
      <c r="C3" t="s">
        <v>65</v>
      </c>
    </row>
    <row r="4" spans="1:3" x14ac:dyDescent="0.35">
      <c r="A4" s="12" t="s">
        <v>40</v>
      </c>
      <c r="B4" s="13">
        <v>2600518.0500000003</v>
      </c>
      <c r="C4" s="13">
        <v>33011143.95000001</v>
      </c>
    </row>
    <row r="5" spans="1:3" x14ac:dyDescent="0.35">
      <c r="A5" s="12" t="s">
        <v>41</v>
      </c>
      <c r="B5" s="13">
        <v>1576709.0350000004</v>
      </c>
      <c r="C5" s="13">
        <v>18250059.465</v>
      </c>
    </row>
    <row r="6" spans="1:3" x14ac:dyDescent="0.35">
      <c r="A6" s="12" t="s">
        <v>42</v>
      </c>
      <c r="B6" s="13">
        <v>1456612.4799999995</v>
      </c>
      <c r="C6" s="13">
        <v>20511921.02</v>
      </c>
    </row>
    <row r="7" spans="1:3" x14ac:dyDescent="0.35">
      <c r="A7" s="12" t="s">
        <v>43</v>
      </c>
      <c r="B7" s="13">
        <v>1290163.4400000002</v>
      </c>
      <c r="C7" s="13">
        <v>17779777.059999999</v>
      </c>
    </row>
    <row r="8" spans="1:3" x14ac:dyDescent="0.35">
      <c r="A8" s="12" t="s">
        <v>39</v>
      </c>
      <c r="B8" s="13">
        <v>1166526.6200000001</v>
      </c>
      <c r="C8" s="13">
        <v>16132707.879999999</v>
      </c>
    </row>
    <row r="9" spans="1:3" x14ac:dyDescent="0.35">
      <c r="A9" s="12" t="s">
        <v>38</v>
      </c>
      <c r="B9" s="13">
        <v>1126447.615</v>
      </c>
      <c r="C9" s="13">
        <v>14234572.885000004</v>
      </c>
    </row>
    <row r="10" spans="1:3" x14ac:dyDescent="0.35">
      <c r="A10" s="12" t="s">
        <v>67</v>
      </c>
      <c r="B10" s="13">
        <v>9216977.2400000002</v>
      </c>
      <c r="C10" s="13">
        <v>119920182.26000001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ADE3-F2B2-4948-AC01-AE6768E23CA0}">
  <dimension ref="A3:B10"/>
  <sheetViews>
    <sheetView workbookViewId="0">
      <selection activeCell="K12" sqref="K12"/>
    </sheetView>
  </sheetViews>
  <sheetFormatPr defaultRowHeight="14.5" x14ac:dyDescent="0.35"/>
  <cols>
    <col min="1" max="1" width="13.6328125" bestFit="1" customWidth="1"/>
    <col min="2" max="2" width="13.1796875" bestFit="1" customWidth="1"/>
  </cols>
  <sheetData>
    <row r="3" spans="1:2" x14ac:dyDescent="0.35">
      <c r="A3" s="19" t="s">
        <v>66</v>
      </c>
      <c r="B3" s="13" t="s">
        <v>80</v>
      </c>
    </row>
    <row r="4" spans="1:2" x14ac:dyDescent="0.35">
      <c r="A4" s="20" t="s">
        <v>38</v>
      </c>
      <c r="B4" s="13">
        <v>1931469.8849999998</v>
      </c>
    </row>
    <row r="5" spans="1:2" x14ac:dyDescent="0.35">
      <c r="A5" s="20" t="s">
        <v>39</v>
      </c>
      <c r="B5" s="13">
        <v>2232160.88</v>
      </c>
    </row>
    <row r="6" spans="1:2" x14ac:dyDescent="0.35">
      <c r="A6" s="20" t="s">
        <v>41</v>
      </c>
      <c r="B6" s="13">
        <v>2305992.4649999999</v>
      </c>
    </row>
    <row r="7" spans="1:2" x14ac:dyDescent="0.35">
      <c r="A7" s="20" t="s">
        <v>43</v>
      </c>
      <c r="B7" s="13">
        <v>2834756.06</v>
      </c>
    </row>
    <row r="8" spans="1:2" x14ac:dyDescent="0.35">
      <c r="A8" s="20" t="s">
        <v>42</v>
      </c>
      <c r="B8" s="13">
        <v>3034608.0200000005</v>
      </c>
    </row>
    <row r="9" spans="1:2" x14ac:dyDescent="0.35">
      <c r="A9" s="20" t="s">
        <v>40</v>
      </c>
      <c r="B9" s="13">
        <v>4797437.9499999993</v>
      </c>
    </row>
    <row r="10" spans="1:2" x14ac:dyDescent="0.35">
      <c r="A10" s="20" t="s">
        <v>67</v>
      </c>
      <c r="B10" s="13">
        <v>17136425.259999998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81B7-E95D-4F75-8FCE-FFDD156FADBB}">
  <dimension ref="A3:B10"/>
  <sheetViews>
    <sheetView workbookViewId="0">
      <selection activeCell="G3" sqref="G3"/>
    </sheetView>
  </sheetViews>
  <sheetFormatPr defaultRowHeight="14.5" x14ac:dyDescent="0.35"/>
  <cols>
    <col min="1" max="1" width="12.36328125" bestFit="1" customWidth="1"/>
    <col min="2" max="2" width="13.26953125" bestFit="1" customWidth="1"/>
  </cols>
  <sheetData>
    <row r="3" spans="1:2" x14ac:dyDescent="0.35">
      <c r="A3" s="11" t="s">
        <v>66</v>
      </c>
      <c r="B3" t="s">
        <v>65</v>
      </c>
    </row>
    <row r="4" spans="1:2" x14ac:dyDescent="0.35">
      <c r="A4" s="12" t="s">
        <v>38</v>
      </c>
      <c r="B4" s="17">
        <v>14234572.885000004</v>
      </c>
    </row>
    <row r="5" spans="1:2" x14ac:dyDescent="0.35">
      <c r="A5" s="12" t="s">
        <v>39</v>
      </c>
      <c r="B5" s="17">
        <v>16132707.879999999</v>
      </c>
    </row>
    <row r="6" spans="1:2" x14ac:dyDescent="0.35">
      <c r="A6" s="12" t="s">
        <v>43</v>
      </c>
      <c r="B6" s="17">
        <v>17779777.059999999</v>
      </c>
    </row>
    <row r="7" spans="1:2" x14ac:dyDescent="0.35">
      <c r="A7" s="12" t="s">
        <v>41</v>
      </c>
      <c r="B7" s="17">
        <v>18250059.465</v>
      </c>
    </row>
    <row r="8" spans="1:2" x14ac:dyDescent="0.35">
      <c r="A8" s="12" t="s">
        <v>42</v>
      </c>
      <c r="B8" s="17">
        <v>20511921.02</v>
      </c>
    </row>
    <row r="9" spans="1:2" x14ac:dyDescent="0.35">
      <c r="A9" s="12" t="s">
        <v>40</v>
      </c>
      <c r="B9" s="17">
        <v>33011143.95000001</v>
      </c>
    </row>
    <row r="10" spans="1:2" x14ac:dyDescent="0.35">
      <c r="A10" s="12" t="s">
        <v>67</v>
      </c>
      <c r="B10" s="17">
        <v>119920182.26000001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7517-A011-40BE-808E-52FD4C06E56F}">
  <dimension ref="B3:B7"/>
  <sheetViews>
    <sheetView workbookViewId="0">
      <selection activeCell="B6" sqref="B6"/>
    </sheetView>
  </sheetViews>
  <sheetFormatPr defaultRowHeight="14.5" x14ac:dyDescent="0.35"/>
  <sheetData>
    <row r="3" spans="2:2" x14ac:dyDescent="0.35">
      <c r="B3" t="s">
        <v>85</v>
      </c>
    </row>
    <row r="6" spans="2:2" x14ac:dyDescent="0.35">
      <c r="B6" t="s">
        <v>90</v>
      </c>
    </row>
    <row r="7" spans="2:2" x14ac:dyDescent="0.35">
      <c r="B7"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KPI (DONE)</vt:lpstr>
      <vt:lpstr>DASHBOARD</vt:lpstr>
      <vt:lpstr>DASHBOARD.</vt:lpstr>
      <vt:lpstr>DATASET</vt:lpstr>
      <vt:lpstr>RAW DATA</vt:lpstr>
      <vt:lpstr>Sales Over Time (DONE)</vt:lpstr>
      <vt:lpstr>Profit by Segment (DONE)</vt:lpstr>
      <vt:lpstr>Unit Sold by Product (DONE)</vt:lpstr>
      <vt:lpstr>Profit by Country (DONE)</vt:lpstr>
      <vt:lpstr>Profit vs COGS (DONE)</vt:lpstr>
      <vt:lpstr>Profit vs COGS vs Sales (DONE)</vt:lpstr>
      <vt:lpstr>Discount &amp; Profit (Done)</vt:lpstr>
      <vt:lpstr>Discount Impact on Profit(DONE)</vt:lpstr>
      <vt:lpstr>Discount Impact on Sales(DONE)</vt:lpstr>
      <vt:lpstr>Profit by Product</vt:lpstr>
      <vt:lpstr>Sales by Product</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lenovo</cp:lastModifiedBy>
  <dcterms:created xsi:type="dcterms:W3CDTF">2014-01-28T02:45:41Z</dcterms:created>
  <dcterms:modified xsi:type="dcterms:W3CDTF">2026-10-28T13:41:36Z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